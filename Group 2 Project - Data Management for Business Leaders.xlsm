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8" codeName="{873B2839-AC87-7CC4-5C0F-16DCB9831742}"/>
  <workbookPr codeName="ThisWorkbook" hidePivotFieldList="1"/>
  <mc:AlternateContent xmlns:mc="http://schemas.openxmlformats.org/markup-compatibility/2006">
    <mc:Choice Requires="x15">
      <x15ac:absPath xmlns:x15ac="http://schemas.microsoft.com/office/spreadsheetml/2010/11/ac" url="/Users/prajwalkumarhr/Downloads/"/>
    </mc:Choice>
  </mc:AlternateContent>
  <xr:revisionPtr revIDLastSave="0" documentId="13_ncr:1_{F6E5A116-35D9-DA4C-B4D3-237746AFA8ED}" xr6:coauthVersionLast="47" xr6:coauthVersionMax="47" xr10:uidLastSave="{00000000-0000-0000-0000-000000000000}"/>
  <bookViews>
    <workbookView xWindow="0" yWindow="720" windowWidth="29400" windowHeight="18400" activeTab="4" xr2:uid="{D1D402CC-D096-4AED-B25A-6FE9F206B2F2}"/>
  </bookViews>
  <sheets>
    <sheet name="Welcome" sheetId="40" r:id="rId1"/>
    <sheet name="Bibliography" sheetId="6" r:id="rId2"/>
    <sheet name="Dashboard" sheetId="25" r:id="rId3"/>
    <sheet name="Conclusion" sheetId="43" r:id="rId4"/>
    <sheet name="Commute Time" sheetId="42" r:id="rId5"/>
    <sheet name="Normalized Dataset" sheetId="10" r:id="rId6"/>
    <sheet name="Micros Dataset" sheetId="29" r:id="rId7"/>
    <sheet name="Statewise Data" sheetId="2" r:id="rId8"/>
    <sheet name="Education" sheetId="8" r:id="rId9"/>
    <sheet name="Hospitals" sheetId="3" r:id="rId10"/>
    <sheet name="Weather Data" sheetId="4" r:id="rId11"/>
    <sheet name="Rent vs Income" sheetId="35" r:id="rId12"/>
    <sheet name="Unemployment Rate" sheetId="36" r:id="rId13"/>
    <sheet name="Transit Score" sheetId="38" r:id="rId14"/>
  </sheets>
  <definedNames>
    <definedName name="_xlnm._FilterDatabase" localSheetId="5" hidden="1">'Normalized Dataset'!$A$1:$S$133</definedName>
    <definedName name="_xlnm._FilterDatabase" localSheetId="7" hidden="1">'Statewise Data'!$K$1:$K$345</definedName>
    <definedName name="ExternalData_1" localSheetId="8" hidden="1">Education!$A$1:$H$60</definedName>
    <definedName name="ExternalData_1" localSheetId="9" hidden="1">Hospitals!$A$1:$B$52</definedName>
    <definedName name="ExternalData_1" localSheetId="7" hidden="1">'Statewise Data'!$A$1:$S$345</definedName>
    <definedName name="ExternalData_1" localSheetId="10" hidden="1">'Weather Data'!$A$1:$J$51</definedName>
    <definedName name="Slicer_State">#N/A</definedName>
  </definedNames>
  <calcPr calcId="191029"/>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 i="43" l="1"/>
  <c r="I134" i="10"/>
  <c r="G134" i="10"/>
  <c r="H134" i="10"/>
  <c r="J134" i="10"/>
  <c r="K134" i="10"/>
  <c r="L134" i="10"/>
  <c r="M134" i="10"/>
  <c r="N134" i="10"/>
  <c r="O134" i="10"/>
  <c r="P134" i="10"/>
  <c r="Q134" i="10"/>
  <c r="R134" i="10"/>
  <c r="S134" i="10"/>
  <c r="F134" i="10"/>
  <c r="B14" i="25"/>
  <c r="K2" i="4" l="1"/>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B35" i="25"/>
  <c r="B30" i="25"/>
  <c r="B25" i="25"/>
  <c r="B19"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A955E9-8FCF-43D1-BB74-447056384AE7}" keepAlive="1" name="Query - 2023 College Statistics By State" description="Connection to the '2023 College Statistics By State' query in the workbook." type="5" refreshedVersion="8" background="1" saveData="1">
    <dbPr connection="Provider=Microsoft.Mashup.OleDb.1;Data Source=$Workbook$;Location=&quot;2023 College Statistics By State&quot;;Extended Properties=&quot;&quot;" command="SELECT * FROM [2023 College Statistics By State]"/>
  </connection>
  <connection id="2" xr16:uid="{ECE1FF3F-382D-4844-BFFE-62EE74C8D806}" keepAlive="1" name="Query - Data Set for Project" description="Connection to the 'Data Set for Project' query in the workbook." type="5" refreshedVersion="8" background="1" saveData="1">
    <dbPr connection="Provider=Microsoft.Mashup.OleDb.1;Data Source=$Workbook$;Location=&quot;Data Set for Project&quot;;Extended Properties=&quot;&quot;" command="SELECT * FROM [Data Set for Project]"/>
  </connection>
  <connection id="3" xr16:uid="{E17A8699-217C-4B01-BFA9-E9C1D0977BB6}" keepAlive="1" name="Query - Hospitals" description="Connection to the 'Hospitals' query in the workbook." type="5" refreshedVersion="8" background="1" saveData="1">
    <dbPr connection="Provider=Microsoft.Mashup.OleDb.1;Data Source=$Workbook$;Location=Hospitals;Extended Properties=&quot;&quot;" command="SELECT * FROM [Hospitals]"/>
  </connection>
  <connection id="4" xr16:uid="{B7AA1A12-3D1A-4C38-ADF4-395E49A5F981}" keepAlive="1" name="Query - Weather Data" description="Connection to the 'Weather Data' query in the workbook." type="5" refreshedVersion="8" background="1" saveData="1">
    <dbPr connection="Provider=Microsoft.Mashup.OleDb.1;Data Source=$Workbook$;Location=&quot;Weather Data&quot;;Extended Properties=&quot;&quot;" command="SELECT * FROM [Weather Data]"/>
  </connection>
</connections>
</file>

<file path=xl/sharedStrings.xml><?xml version="1.0" encoding="utf-8"?>
<sst xmlns="http://schemas.openxmlformats.org/spreadsheetml/2006/main" count="2680" uniqueCount="748">
  <si>
    <t>Column1</t>
  </si>
  <si>
    <t>City</t>
  </si>
  <si>
    <t>State</t>
  </si>
  <si>
    <t>Region</t>
  </si>
  <si>
    <t>Size</t>
  </si>
  <si>
    <t>Population</t>
  </si>
  <si>
    <t>AvgRent</t>
  </si>
  <si>
    <t>MedianRent</t>
  </si>
  <si>
    <t>AvgIncome</t>
  </si>
  <si>
    <t>CostOfLiving</t>
  </si>
  <si>
    <t>PriceParity</t>
  </si>
  <si>
    <t>CommuteTime</t>
  </si>
  <si>
    <t>MedianAQI</t>
  </si>
  <si>
    <t>WalkScore</t>
  </si>
  <si>
    <t>BikeScore</t>
  </si>
  <si>
    <t>TransitScore</t>
  </si>
  <si>
    <t>Latitude</t>
  </si>
  <si>
    <t>Longitude</t>
  </si>
  <si>
    <t>New York</t>
  </si>
  <si>
    <t>Northeast</t>
  </si>
  <si>
    <t>Large</t>
  </si>
  <si>
    <t>Los Angeles</t>
  </si>
  <si>
    <t>California</t>
  </si>
  <si>
    <t>West</t>
  </si>
  <si>
    <t>Chicago</t>
  </si>
  <si>
    <t>Illinois</t>
  </si>
  <si>
    <t>Midwest</t>
  </si>
  <si>
    <t>Dallas</t>
  </si>
  <si>
    <t>Texas</t>
  </si>
  <si>
    <t>South</t>
  </si>
  <si>
    <t>Houston</t>
  </si>
  <si>
    <t>Washington</t>
  </si>
  <si>
    <t>District of Columbia</t>
  </si>
  <si>
    <t>Philadelphia</t>
  </si>
  <si>
    <t>Pennsylvania</t>
  </si>
  <si>
    <t>Miami</t>
  </si>
  <si>
    <t>Florida</t>
  </si>
  <si>
    <t>Atlanta</t>
  </si>
  <si>
    <t>Georgia</t>
  </si>
  <si>
    <t>Boston</t>
  </si>
  <si>
    <t>Massachusetts</t>
  </si>
  <si>
    <t>Phoenix</t>
  </si>
  <si>
    <t>Arizona</t>
  </si>
  <si>
    <t>San Francisco</t>
  </si>
  <si>
    <t>Riverside</t>
  </si>
  <si>
    <t>Detroit</t>
  </si>
  <si>
    <t>Michigan</t>
  </si>
  <si>
    <t>Seattle</t>
  </si>
  <si>
    <t>Minneapolis</t>
  </si>
  <si>
    <t>Minnesota</t>
  </si>
  <si>
    <t>San Diego</t>
  </si>
  <si>
    <t>Tampa</t>
  </si>
  <si>
    <t>Denver</t>
  </si>
  <si>
    <t>Colorado</t>
  </si>
  <si>
    <t>Baltimore</t>
  </si>
  <si>
    <t>Maryland</t>
  </si>
  <si>
    <t>St. Louis</t>
  </si>
  <si>
    <t>Missouri</t>
  </si>
  <si>
    <t>Orlando</t>
  </si>
  <si>
    <t>Charlotte</t>
  </si>
  <si>
    <t>North Carolina</t>
  </si>
  <si>
    <t>San Antonio</t>
  </si>
  <si>
    <t>Portland</t>
  </si>
  <si>
    <t>Oregon</t>
  </si>
  <si>
    <t>Sacramento</t>
  </si>
  <si>
    <t>Pittsburgh</t>
  </si>
  <si>
    <t>Austin</t>
  </si>
  <si>
    <t>Las Vegas</t>
  </si>
  <si>
    <t>Nevada</t>
  </si>
  <si>
    <t>Cincinnati</t>
  </si>
  <si>
    <t>Ohio</t>
  </si>
  <si>
    <t>Kansas City</t>
  </si>
  <si>
    <t>Columbus</t>
  </si>
  <si>
    <t>Indianapolis</t>
  </si>
  <si>
    <t>Indiana</t>
  </si>
  <si>
    <t>Cleveland</t>
  </si>
  <si>
    <t>San Jose</t>
  </si>
  <si>
    <t>Nashville</t>
  </si>
  <si>
    <t>Tennessee</t>
  </si>
  <si>
    <t>Virginia Beach</t>
  </si>
  <si>
    <t>Virginia</t>
  </si>
  <si>
    <t>Providence</t>
  </si>
  <si>
    <t>Rhode Island</t>
  </si>
  <si>
    <t>Jacksonville</t>
  </si>
  <si>
    <t>Milwaukee</t>
  </si>
  <si>
    <t>Wisconsin</t>
  </si>
  <si>
    <t>Oklahoma City</t>
  </si>
  <si>
    <t>Oklahoma</t>
  </si>
  <si>
    <t>Raleigh</t>
  </si>
  <si>
    <t>Memphis</t>
  </si>
  <si>
    <t>Richmond</t>
  </si>
  <si>
    <t>Louisville/Jefferson County</t>
  </si>
  <si>
    <t>Kentucky</t>
  </si>
  <si>
    <t>New Orleans</t>
  </si>
  <si>
    <t>Louisiana</t>
  </si>
  <si>
    <t>Salt Lake City</t>
  </si>
  <si>
    <t>Utah</t>
  </si>
  <si>
    <t>Hartford</t>
  </si>
  <si>
    <t>Connecticut</t>
  </si>
  <si>
    <t>Buffalo</t>
  </si>
  <si>
    <t>Birmingham</t>
  </si>
  <si>
    <t>Alabama</t>
  </si>
  <si>
    <t>Rochester</t>
  </si>
  <si>
    <t>Grand Rapids</t>
  </si>
  <si>
    <t>Tucson</t>
  </si>
  <si>
    <t>Urban Honolulu</t>
  </si>
  <si>
    <t>Hawaii</t>
  </si>
  <si>
    <t>Tulsa</t>
  </si>
  <si>
    <t>Fresno</t>
  </si>
  <si>
    <t>Worcester</t>
  </si>
  <si>
    <t>Mid-Sized</t>
  </si>
  <si>
    <t>Omaha</t>
  </si>
  <si>
    <t>Nebraska</t>
  </si>
  <si>
    <t>Bridgeport</t>
  </si>
  <si>
    <t>Greenville</t>
  </si>
  <si>
    <t>South Carolina</t>
  </si>
  <si>
    <t>Albuquerque</t>
  </si>
  <si>
    <t>New Mexico</t>
  </si>
  <si>
    <t>Bakersfield</t>
  </si>
  <si>
    <t>Albany</t>
  </si>
  <si>
    <t>Knoxville</t>
  </si>
  <si>
    <t>McAllen</t>
  </si>
  <si>
    <t>Baton Rouge</t>
  </si>
  <si>
    <t>El Paso</t>
  </si>
  <si>
    <t>New Haven</t>
  </si>
  <si>
    <t>Allentown</t>
  </si>
  <si>
    <t>Oxnard</t>
  </si>
  <si>
    <t>North Port</t>
  </si>
  <si>
    <t>Columbia</t>
  </si>
  <si>
    <t>Dayton</t>
  </si>
  <si>
    <t>Charleston</t>
  </si>
  <si>
    <t>Stockton</t>
  </si>
  <si>
    <t>Greensboro</t>
  </si>
  <si>
    <t>Cape Coral</t>
  </si>
  <si>
    <t>Colorado Springs</t>
  </si>
  <si>
    <t>Little Rock</t>
  </si>
  <si>
    <t>Arkansas</t>
  </si>
  <si>
    <t>Lakeland</t>
  </si>
  <si>
    <t>Des Moines</t>
  </si>
  <si>
    <t>Iowa</t>
  </si>
  <si>
    <t>Akron</t>
  </si>
  <si>
    <t>Springfield</t>
  </si>
  <si>
    <t>Ogden</t>
  </si>
  <si>
    <t>Madison</t>
  </si>
  <si>
    <t>Provo</t>
  </si>
  <si>
    <t>Deltona</t>
  </si>
  <si>
    <t>Syracuse</t>
  </si>
  <si>
    <t>Durham</t>
  </si>
  <si>
    <t>Wichita</t>
  </si>
  <si>
    <t>Kansas</t>
  </si>
  <si>
    <t>Toledo</t>
  </si>
  <si>
    <t>Augusta</t>
  </si>
  <si>
    <t>Palm Bay</t>
  </si>
  <si>
    <t>Jackson</t>
  </si>
  <si>
    <t>Mississippi</t>
  </si>
  <si>
    <t>Harrisburg</t>
  </si>
  <si>
    <t>Spokane</t>
  </si>
  <si>
    <t>Scranton</t>
  </si>
  <si>
    <t>Chattanooga</t>
  </si>
  <si>
    <t>Lancaster</t>
  </si>
  <si>
    <t>Modesto</t>
  </si>
  <si>
    <t>Maine</t>
  </si>
  <si>
    <t>Fayetteville</t>
  </si>
  <si>
    <t>Lansing</t>
  </si>
  <si>
    <t>Youngstown</t>
  </si>
  <si>
    <t>Lexington</t>
  </si>
  <si>
    <t>Pensacola</t>
  </si>
  <si>
    <t>Huntsville</t>
  </si>
  <si>
    <t>Reno</t>
  </si>
  <si>
    <t>Santa Rosa</t>
  </si>
  <si>
    <t>Myrtle Beach</t>
  </si>
  <si>
    <t>Lafayette</t>
  </si>
  <si>
    <t>Killeen</t>
  </si>
  <si>
    <t>Visalia</t>
  </si>
  <si>
    <t>Asheville</t>
  </si>
  <si>
    <t>York</t>
  </si>
  <si>
    <t>Vallejo</t>
  </si>
  <si>
    <t>Santa Maria</t>
  </si>
  <si>
    <t>Salinas</t>
  </si>
  <si>
    <t>Salem</t>
  </si>
  <si>
    <t>Mobile</t>
  </si>
  <si>
    <t>Reading</t>
  </si>
  <si>
    <t>Manchester</t>
  </si>
  <si>
    <t>New Hampshire</t>
  </si>
  <si>
    <t>Corpus Christi</t>
  </si>
  <si>
    <t>Brownsville</t>
  </si>
  <si>
    <t>Fort Wayne</t>
  </si>
  <si>
    <t>Salisbury</t>
  </si>
  <si>
    <t>Gulfport</t>
  </si>
  <si>
    <t>Flint</t>
  </si>
  <si>
    <t>Savannah</t>
  </si>
  <si>
    <t>Peoria</t>
  </si>
  <si>
    <t>Canton</t>
  </si>
  <si>
    <t>Anchorage</t>
  </si>
  <si>
    <t>Alaska</t>
  </si>
  <si>
    <t>Beaumont</t>
  </si>
  <si>
    <t>Shreveport</t>
  </si>
  <si>
    <t>Trenton</t>
  </si>
  <si>
    <t>New Jersey</t>
  </si>
  <si>
    <t>Montgomery</t>
  </si>
  <si>
    <t>Davenport</t>
  </si>
  <si>
    <t>Tallahassee</t>
  </si>
  <si>
    <t>Eugene</t>
  </si>
  <si>
    <t>Ocala</t>
  </si>
  <si>
    <t>Naples</t>
  </si>
  <si>
    <t>Ann Arbor</t>
  </si>
  <si>
    <t>Hickory</t>
  </si>
  <si>
    <t>Huntington</t>
  </si>
  <si>
    <t>West Virginia</t>
  </si>
  <si>
    <t>Fort Collins</t>
  </si>
  <si>
    <t>Lincoln</t>
  </si>
  <si>
    <t>Gainesville</t>
  </si>
  <si>
    <t>Rockford</t>
  </si>
  <si>
    <t>Boulder</t>
  </si>
  <si>
    <t>Greeley</t>
  </si>
  <si>
    <t>Green Bay</t>
  </si>
  <si>
    <t>Spartanburg</t>
  </si>
  <si>
    <t>South Bend</t>
  </si>
  <si>
    <t>Lubbock</t>
  </si>
  <si>
    <t>Clarksville</t>
  </si>
  <si>
    <t>Roanoke</t>
  </si>
  <si>
    <t>Evansville</t>
  </si>
  <si>
    <t>Kingsport</t>
  </si>
  <si>
    <t>Kennewick</t>
  </si>
  <si>
    <t>Olympia</t>
  </si>
  <si>
    <t>Hagerstown</t>
  </si>
  <si>
    <t>Utica</t>
  </si>
  <si>
    <t>Duluth</t>
  </si>
  <si>
    <t>Crestview</t>
  </si>
  <si>
    <t>Longview</t>
  </si>
  <si>
    <t>San Luis Obispo</t>
  </si>
  <si>
    <t>Merced</t>
  </si>
  <si>
    <t>Waco</t>
  </si>
  <si>
    <t>Sioux Falls</t>
  </si>
  <si>
    <t>South Dakota</t>
  </si>
  <si>
    <t>Cedar Rapids</t>
  </si>
  <si>
    <t>Bremerton</t>
  </si>
  <si>
    <t>Erie</t>
  </si>
  <si>
    <t>Santa Cruz</t>
  </si>
  <si>
    <t>Amarillo</t>
  </si>
  <si>
    <t>Tuscaloosa</t>
  </si>
  <si>
    <t>Norwich</t>
  </si>
  <si>
    <t>College Station</t>
  </si>
  <si>
    <t>Laredo</t>
  </si>
  <si>
    <t>Kalamazoo</t>
  </si>
  <si>
    <t>Lynchburg</t>
  </si>
  <si>
    <t>Yakima</t>
  </si>
  <si>
    <t>Fargo</t>
  </si>
  <si>
    <t>North Dakota</t>
  </si>
  <si>
    <t>Small</t>
  </si>
  <si>
    <t>Binghamton</t>
  </si>
  <si>
    <t>Fort Smith</t>
  </si>
  <si>
    <t>Appleton</t>
  </si>
  <si>
    <t>Macon</t>
  </si>
  <si>
    <t>Tyler</t>
  </si>
  <si>
    <t>Topeka</t>
  </si>
  <si>
    <t>Daphne</t>
  </si>
  <si>
    <t>Bellingham</t>
  </si>
  <si>
    <t>Burlington</t>
  </si>
  <si>
    <t>Vermont</t>
  </si>
  <si>
    <t>Medford</t>
  </si>
  <si>
    <t>Champaign</t>
  </si>
  <si>
    <t>Lake Charles</t>
  </si>
  <si>
    <t>Charlottesville</t>
  </si>
  <si>
    <t>Las Cruces</t>
  </si>
  <si>
    <t>Hilton Head Island</t>
  </si>
  <si>
    <t>Athens</t>
  </si>
  <si>
    <t>Lake Havasu City</t>
  </si>
  <si>
    <t>Chico</t>
  </si>
  <si>
    <t>Johnson City</t>
  </si>
  <si>
    <t>Houma</t>
  </si>
  <si>
    <t>Monroe</t>
  </si>
  <si>
    <t>Yuma</t>
  </si>
  <si>
    <t>Florence</t>
  </si>
  <si>
    <t>Bend</t>
  </si>
  <si>
    <t>Racine</t>
  </si>
  <si>
    <t>Warner Robins</t>
  </si>
  <si>
    <t>Saginaw</t>
  </si>
  <si>
    <t>Punta Gorda</t>
  </si>
  <si>
    <t>Terre Haute</t>
  </si>
  <si>
    <t>Billings</t>
  </si>
  <si>
    <t>Montana</t>
  </si>
  <si>
    <t>Redding</t>
  </si>
  <si>
    <t>Dover</t>
  </si>
  <si>
    <t>Delaware</t>
  </si>
  <si>
    <t>Kingston</t>
  </si>
  <si>
    <t>Joplin</t>
  </si>
  <si>
    <t>Yuba City</t>
  </si>
  <si>
    <t>Bowling Green</t>
  </si>
  <si>
    <t>Abilene</t>
  </si>
  <si>
    <t>Muskegon</t>
  </si>
  <si>
    <t>Iowa City</t>
  </si>
  <si>
    <t>Midland</t>
  </si>
  <si>
    <t>Panama City</t>
  </si>
  <si>
    <t>Auburn</t>
  </si>
  <si>
    <t>Hattiesburg</t>
  </si>
  <si>
    <t>Eau Claire</t>
  </si>
  <si>
    <t>Oshkosh</t>
  </si>
  <si>
    <t>Coeur d'Alene</t>
  </si>
  <si>
    <t>Idaho</t>
  </si>
  <si>
    <t>Bloomington</t>
  </si>
  <si>
    <t>Waterloo</t>
  </si>
  <si>
    <t>East Stroudsburg</t>
  </si>
  <si>
    <t>Pueblo</t>
  </si>
  <si>
    <t>Wausau</t>
  </si>
  <si>
    <t>Blacksburg</t>
  </si>
  <si>
    <t>Odessa</t>
  </si>
  <si>
    <t>Janesville</t>
  </si>
  <si>
    <t>Sebastian</t>
  </si>
  <si>
    <t>State College</t>
  </si>
  <si>
    <t>Idaho Falls</t>
  </si>
  <si>
    <t>Decatur</t>
  </si>
  <si>
    <t>Madera</t>
  </si>
  <si>
    <t>Chambersburg</t>
  </si>
  <si>
    <t>Grand Junction</t>
  </si>
  <si>
    <t>Elizabethtown</t>
  </si>
  <si>
    <t>Santa Fe</t>
  </si>
  <si>
    <t>Hanford</t>
  </si>
  <si>
    <t>Bangor</t>
  </si>
  <si>
    <t>Dothan</t>
  </si>
  <si>
    <t>Jefferson City</t>
  </si>
  <si>
    <t>Sioux City</t>
  </si>
  <si>
    <t>Wichita Falls</t>
  </si>
  <si>
    <t>Valdosta</t>
  </si>
  <si>
    <t>Texarkana</t>
  </si>
  <si>
    <t>Logan</t>
  </si>
  <si>
    <t>Flagstaff</t>
  </si>
  <si>
    <t>Rocky Mount</t>
  </si>
  <si>
    <t>Lebanon</t>
  </si>
  <si>
    <t>Winchester</t>
  </si>
  <si>
    <t>Morgantown</t>
  </si>
  <si>
    <t>La Crosse</t>
  </si>
  <si>
    <t>Wheeling</t>
  </si>
  <si>
    <t>Rapid City</t>
  </si>
  <si>
    <t>Napa</t>
  </si>
  <si>
    <t>Sumter</t>
  </si>
  <si>
    <t>Harrisonburg</t>
  </si>
  <si>
    <t>Sherman</t>
  </si>
  <si>
    <t>Battle Creek</t>
  </si>
  <si>
    <t>Jonesboro</t>
  </si>
  <si>
    <t>Manhattan</t>
  </si>
  <si>
    <t>Bismarck</t>
  </si>
  <si>
    <t>Johnstown</t>
  </si>
  <si>
    <t>Carbondale</t>
  </si>
  <si>
    <t>Hammond</t>
  </si>
  <si>
    <t>The Villages</t>
  </si>
  <si>
    <t>Mount Vernon</t>
  </si>
  <si>
    <t>Pittsfield</t>
  </si>
  <si>
    <t>Lawton</t>
  </si>
  <si>
    <t>Sierra Vista</t>
  </si>
  <si>
    <t>Staunton</t>
  </si>
  <si>
    <t>Ames</t>
  </si>
  <si>
    <t>Mansfield</t>
  </si>
  <si>
    <t>San Angelo</t>
  </si>
  <si>
    <t>New Bern</t>
  </si>
  <si>
    <t>Wenatchee</t>
  </si>
  <si>
    <t>Farmington</t>
  </si>
  <si>
    <t>Lawrence</t>
  </si>
  <si>
    <t>Sheboygan</t>
  </si>
  <si>
    <t>Missoula</t>
  </si>
  <si>
    <t>Weirton</t>
  </si>
  <si>
    <t>Watertown</t>
  </si>
  <si>
    <t>Brunswick</t>
  </si>
  <si>
    <t>Michigan City</t>
  </si>
  <si>
    <t>Muncie</t>
  </si>
  <si>
    <t>Lewiston</t>
  </si>
  <si>
    <t>Kankakee</t>
  </si>
  <si>
    <t>Ithaca</t>
  </si>
  <si>
    <t>Grand Forks</t>
  </si>
  <si>
    <t>Fond du Lac</t>
  </si>
  <si>
    <t>Sebring</t>
  </si>
  <si>
    <t>Cheyenne</t>
  </si>
  <si>
    <t>Wyoming</t>
  </si>
  <si>
    <t>Hot Springs</t>
  </si>
  <si>
    <t>Dubuque</t>
  </si>
  <si>
    <t>Victoria</t>
  </si>
  <si>
    <t>Cape Girardeau</t>
  </si>
  <si>
    <t>Fairbanks</t>
  </si>
  <si>
    <t>Corvallis</t>
  </si>
  <si>
    <t>Cumberland</t>
  </si>
  <si>
    <t>Pocatello</t>
  </si>
  <si>
    <t>Parkersburg</t>
  </si>
  <si>
    <t>Grants Pass</t>
  </si>
  <si>
    <t>Great Falls</t>
  </si>
  <si>
    <t>Kokomo</t>
  </si>
  <si>
    <t>Bloomsburg</t>
  </si>
  <si>
    <t>Hinesville</t>
  </si>
  <si>
    <t>Casper</t>
  </si>
  <si>
    <t>Grand Island</t>
  </si>
  <si>
    <t>Danville</t>
  </si>
  <si>
    <t>Enid</t>
  </si>
  <si>
    <t>Walla Walla</t>
  </si>
  <si>
    <t>Carson City</t>
  </si>
  <si>
    <t>Column2</t>
  </si>
  <si>
    <t>state</t>
  </si>
  <si>
    <t>avg_hum_spr</t>
  </si>
  <si>
    <t>avg_hum_sum</t>
  </si>
  <si>
    <t>avg_hum_fall</t>
  </si>
  <si>
    <t>avg_hum_wint</t>
  </si>
  <si>
    <t>avg_temp_spr</t>
  </si>
  <si>
    <t>avg_temp_sum</t>
  </si>
  <si>
    <t>avg_temp_fall</t>
  </si>
  <si>
    <t>avg_temp_wint</t>
  </si>
  <si>
    <t>New_Hampshire</t>
  </si>
  <si>
    <t>New_Jersey</t>
  </si>
  <si>
    <t>New_Mexico</t>
  </si>
  <si>
    <t>New_York</t>
  </si>
  <si>
    <t>North_Carolina</t>
  </si>
  <si>
    <t>North_Dakota</t>
  </si>
  <si>
    <t>Rhode_Island</t>
  </si>
  <si>
    <t>South_Carolina</t>
  </si>
  <si>
    <t>South_Dakota</t>
  </si>
  <si>
    <t>West_Virginia</t>
  </si>
  <si>
    <t>Bibliography</t>
  </si>
  <si>
    <t>Name of the Website</t>
  </si>
  <si>
    <t>URL</t>
  </si>
  <si>
    <t>Data Retrieved</t>
  </si>
  <si>
    <t>Kaggle</t>
  </si>
  <si>
    <t>Region, Population, Avg Rent, Unemployement Rent, Avg income, Transit score, Commute Time, Cost of Living Index, Walk score</t>
  </si>
  <si>
    <t>Univstats</t>
  </si>
  <si>
    <t>2023 College Statistics By States (univstats.com)</t>
  </si>
  <si>
    <t>Statewise Data For United States</t>
  </si>
  <si>
    <t>Number of Schools (Public/Private)</t>
  </si>
  <si>
    <t>Acceptance Rate</t>
  </si>
  <si>
    <t>SAT Score</t>
  </si>
  <si>
    <t>Tuition (Residents)</t>
  </si>
  <si>
    <t>Student Population</t>
  </si>
  <si>
    <t>Graduation Rate</t>
  </si>
  <si>
    <t>Students to Faculty Ratio</t>
  </si>
  <si>
    <t>9 (5/4)</t>
  </si>
  <si>
    <t>71.51%</t>
  </si>
  <si>
    <t>1,235</t>
  </si>
  <si>
    <t>$15,818 ($9,306)</t>
  </si>
  <si>
    <t>9.13 to 1</t>
  </si>
  <si>
    <t>84 (43/41)</t>
  </si>
  <si>
    <t>76.63%</t>
  </si>
  <si>
    <t>1,097</t>
  </si>
  <si>
    <t>$14,807 ($10,788)</t>
  </si>
  <si>
    <t>15.11 to 1</t>
  </si>
  <si>
    <t>86 (35/51)</t>
  </si>
  <si>
    <t>67.79%</t>
  </si>
  <si>
    <t>1,085</t>
  </si>
  <si>
    <t>$11,961 ($9,108)</t>
  </si>
  <si>
    <t>14.20 to 1</t>
  </si>
  <si>
    <t>American Samoa</t>
  </si>
  <si>
    <t>1 (1/0)</t>
  </si>
  <si>
    <t>-</t>
  </si>
  <si>
    <t>$5,760 ($5,459)</t>
  </si>
  <si>
    <t>16.00 to 1</t>
  </si>
  <si>
    <t>106 (32/74)</t>
  </si>
  <si>
    <t>77.65%</t>
  </si>
  <si>
    <t>1,133</t>
  </si>
  <si>
    <t>$18,686 ($8,908)</t>
  </si>
  <si>
    <t>19.76 to 1</t>
  </si>
  <si>
    <t>658 (171/487)</t>
  </si>
  <si>
    <t>65.58%</t>
  </si>
  <si>
    <t>1,274</t>
  </si>
  <si>
    <t>$22,359 ($14,218)</t>
  </si>
  <si>
    <t>17.57 to 1</t>
  </si>
  <si>
    <t>90 (33/57)</t>
  </si>
  <si>
    <t>83.14%</t>
  </si>
  <si>
    <t>1,104</t>
  </si>
  <si>
    <t>$19,120 ($11,596)</t>
  </si>
  <si>
    <t>16.09 to 1</t>
  </si>
  <si>
    <t>72 (25/47)</t>
  </si>
  <si>
    <t>70.38%</t>
  </si>
  <si>
    <t>1,233</t>
  </si>
  <si>
    <t>$29,040 ($20,319)</t>
  </si>
  <si>
    <t>13.65 to 1</t>
  </si>
  <si>
    <t>23 (1/22)</t>
  </si>
  <si>
    <t>63.25%</t>
  </si>
  <si>
    <t>1,277</t>
  </si>
  <si>
    <t>$26,571 ($25,709)</t>
  </si>
  <si>
    <t>14.07 to 1</t>
  </si>
  <si>
    <t>17 (6/11)</t>
  </si>
  <si>
    <t>73.01%</t>
  </si>
  <si>
    <t>1,248</t>
  </si>
  <si>
    <t>$16,613 ($12,006)</t>
  </si>
  <si>
    <t>14.38 to 1</t>
  </si>
  <si>
    <t>385 (94/291)</t>
  </si>
  <si>
    <t>72.19%</t>
  </si>
  <si>
    <t>1,131</t>
  </si>
  <si>
    <t>$18,887 ($12,683)</t>
  </si>
  <si>
    <t>16.36 to 1</t>
  </si>
  <si>
    <t>Federated States of Micronesia</t>
  </si>
  <si>
    <t>77.29%</t>
  </si>
  <si>
    <t>$5,050 ($4,750)</t>
  </si>
  <si>
    <t>162 (65/97)</t>
  </si>
  <si>
    <t>70.05%</t>
  </si>
  <si>
    <t>1,114</t>
  </si>
  <si>
    <t>$15,947 ($11,536)</t>
  </si>
  <si>
    <t>15.85 to 1</t>
  </si>
  <si>
    <t>Guam</t>
  </si>
  <si>
    <t>3 (2/1)</t>
  </si>
  <si>
    <t>73.91%</t>
  </si>
  <si>
    <t>$7,631 ($4,983)</t>
  </si>
  <si>
    <t>13.67 to 1</t>
  </si>
  <si>
    <t>23 (10/13)</t>
  </si>
  <si>
    <t>86.64%</t>
  </si>
  <si>
    <t>1,141</t>
  </si>
  <si>
    <t>$15,500 ($9,143)</t>
  </si>
  <si>
    <t>15.83 to 1</t>
  </si>
  <si>
    <t>76 (19/57)</t>
  </si>
  <si>
    <t>78.70%</t>
  </si>
  <si>
    <t>1,117</t>
  </si>
  <si>
    <t>$22,435 ($19,786)</t>
  </si>
  <si>
    <t>12.93 to 1</t>
  </si>
  <si>
    <t>35 (9/26)</t>
  </si>
  <si>
    <t>83.56%</t>
  </si>
  <si>
    <t>1,102</t>
  </si>
  <si>
    <t>$16,659 ($10,697)</t>
  </si>
  <si>
    <t>13.86 to 1</t>
  </si>
  <si>
    <t>239 (63/176)</t>
  </si>
  <si>
    <t>75.20%</t>
  </si>
  <si>
    <t>1,130</t>
  </si>
  <si>
    <t>$22,208 ($19,377)</t>
  </si>
  <si>
    <t>13.91 to 1</t>
  </si>
  <si>
    <t>132 (39/93)</t>
  </si>
  <si>
    <t>79.39%</t>
  </si>
  <si>
    <t>1,151</t>
  </si>
  <si>
    <t>$22,246 ($17,084)</t>
  </si>
  <si>
    <t>13.72 to 1</t>
  </si>
  <si>
    <t>78 (36/42)</t>
  </si>
  <si>
    <t>77.16%</t>
  </si>
  <si>
    <t>963</t>
  </si>
  <si>
    <t>$15,721 ($12,554)</t>
  </si>
  <si>
    <t>13.98 to 1</t>
  </si>
  <si>
    <t>84 (24/60)</t>
  </si>
  <si>
    <t>73.92%</t>
  </si>
  <si>
    <t>1,088</t>
  </si>
  <si>
    <t>$20,858 ($14,755)</t>
  </si>
  <si>
    <t>14.26 to 1</t>
  </si>
  <si>
    <t>106 (28/78)</t>
  </si>
  <si>
    <t>74.74%</t>
  </si>
  <si>
    <t>1,098</t>
  </si>
  <si>
    <t>$17,012 ($11,741)</t>
  </si>
  <si>
    <t>17.79 to 1</t>
  </si>
  <si>
    <t>146 (42/104)</t>
  </si>
  <si>
    <t>63.64%</t>
  </si>
  <si>
    <t>1,263</t>
  </si>
  <si>
    <t>$35,657 ($28,870)</t>
  </si>
  <si>
    <t>11.96 to 1</t>
  </si>
  <si>
    <t>78 (29/49)</t>
  </si>
  <si>
    <t>75.09%</t>
  </si>
  <si>
    <t>$22,714 ($17,944)</t>
  </si>
  <si>
    <t>13.24 to 1</t>
  </si>
  <si>
    <t>36 (15/21)</t>
  </si>
  <si>
    <t>71.12%</t>
  </si>
  <si>
    <t>1,218</t>
  </si>
  <si>
    <t>$27,024 ($19,224)</t>
  </si>
  <si>
    <t>12.24 to 1</t>
  </si>
  <si>
    <t>Marshall Islands</t>
  </si>
  <si>
    <t>$8,098 ($7,457)</t>
  </si>
  <si>
    <t>170 (48/122)</t>
  </si>
  <si>
    <t>75.66%</t>
  </si>
  <si>
    <t>$20,081 ($16,055)</t>
  </si>
  <si>
    <t>13.87 to 1</t>
  </si>
  <si>
    <t>105 (48/57)</t>
  </si>
  <si>
    <t>74.38%</t>
  </si>
  <si>
    <t>1,234</t>
  </si>
  <si>
    <t>$17,767 ($15,704)</t>
  </si>
  <si>
    <t>15.25 to 1</t>
  </si>
  <si>
    <t>147 (43/104)</t>
  </si>
  <si>
    <t>72.44%</t>
  </si>
  <si>
    <t>1,140</t>
  </si>
  <si>
    <t>$18,571 ($15,899)</t>
  </si>
  <si>
    <t>13.48 to 1</t>
  </si>
  <si>
    <t>Northern Marianas</t>
  </si>
  <si>
    <t>$5,520 ($4,037)</t>
  </si>
  <si>
    <t>22.00 to 1</t>
  </si>
  <si>
    <t>53 (26/27)</t>
  </si>
  <si>
    <t>73.52%</t>
  </si>
  <si>
    <t>1,077</t>
  </si>
  <si>
    <t>$11,254 ($7,906)</t>
  </si>
  <si>
    <t>17.14 to 1</t>
  </si>
  <si>
    <t>30 (19/11)</t>
  </si>
  <si>
    <t>77.56%</t>
  </si>
  <si>
    <t>1,171</t>
  </si>
  <si>
    <t>$14,656 ($7,694)</t>
  </si>
  <si>
    <t>12.21 to 1</t>
  </si>
  <si>
    <t>171 (75/96)</t>
  </si>
  <si>
    <t>68.20%</t>
  </si>
  <si>
    <t>$17,701 ($11,974)</t>
  </si>
  <si>
    <t>12.63 to 1</t>
  </si>
  <si>
    <t>26 (14/12)</t>
  </si>
  <si>
    <t>85.12%</t>
  </si>
  <si>
    <t>1,017</t>
  </si>
  <si>
    <t>$11,055 ($8,442)</t>
  </si>
  <si>
    <t>12.54 to 1</t>
  </si>
  <si>
    <t>38 (15/23)</t>
  </si>
  <si>
    <t>76.50%</t>
  </si>
  <si>
    <t>1,105</t>
  </si>
  <si>
    <t>$17,581 ($13,944)</t>
  </si>
  <si>
    <t>34 (13/21)</t>
  </si>
  <si>
    <t>82.13%</t>
  </si>
  <si>
    <t>1,239</t>
  </si>
  <si>
    <t>$27,376 ($20,229)</t>
  </si>
  <si>
    <t>11.77 to 1</t>
  </si>
  <si>
    <t>151 (38/113)</t>
  </si>
  <si>
    <t>74.46%</t>
  </si>
  <si>
    <t>$20,022 ($17,435)</t>
  </si>
  <si>
    <t>15.72 to 1</t>
  </si>
  <si>
    <t>42 (27/15)</t>
  </si>
  <si>
    <t>69.60%</t>
  </si>
  <si>
    <t>1,150</t>
  </si>
  <si>
    <t>$14,497 ($5,925)</t>
  </si>
  <si>
    <t>15.22 to 1</t>
  </si>
  <si>
    <t>38 (7/31)</t>
  </si>
  <si>
    <t>86.05%</t>
  </si>
  <si>
    <t>1,165</t>
  </si>
  <si>
    <t>$19,060 ($13,992)</t>
  </si>
  <si>
    <t>16.32 to 1</t>
  </si>
  <si>
    <t>418 (107/311)</t>
  </si>
  <si>
    <t>68.99%</t>
  </si>
  <si>
    <t>1,231</t>
  </si>
  <si>
    <t>$24,043 ($19,246)</t>
  </si>
  <si>
    <t>14.22 to 1</t>
  </si>
  <si>
    <t>285 (108/177)</t>
  </si>
  <si>
    <t>73.02%</t>
  </si>
  <si>
    <t>1,135</t>
  </si>
  <si>
    <t>$20,784 ($16,720)</t>
  </si>
  <si>
    <t>14.71 to 1</t>
  </si>
  <si>
    <t>99 (62/37)</t>
  </si>
  <si>
    <t>71.00%</t>
  </si>
  <si>
    <t>1,059</t>
  </si>
  <si>
    <t>$14,805 ($9,846)</t>
  </si>
  <si>
    <t>15.51 to 1</t>
  </si>
  <si>
    <t>72 (26/46)</t>
  </si>
  <si>
    <t>76.79%</t>
  </si>
  <si>
    <t>1,196</t>
  </si>
  <si>
    <t>$21,797 ($17,033)</t>
  </si>
  <si>
    <t>12.68 to 1</t>
  </si>
  <si>
    <t>307 (70/237)</t>
  </si>
  <si>
    <t>74.05%</t>
  </si>
  <si>
    <t>1,178</t>
  </si>
  <si>
    <t>$27,156 ($24,041)</t>
  </si>
  <si>
    <t>12.39 to 1</t>
  </si>
  <si>
    <t>Puerto Rico</t>
  </si>
  <si>
    <t>144 (18/126)</t>
  </si>
  <si>
    <t>70.68%</t>
  </si>
  <si>
    <t>977</t>
  </si>
  <si>
    <t>$7,918 ($6,086)</t>
  </si>
  <si>
    <t>16.88 to 1</t>
  </si>
  <si>
    <t>Palau</t>
  </si>
  <si>
    <t>$3,970 ($3,729)</t>
  </si>
  <si>
    <t>10.00 to 1</t>
  </si>
  <si>
    <t>22 (3/19)</t>
  </si>
  <si>
    <t>61.87%</t>
  </si>
  <si>
    <t>1,265</t>
  </si>
  <si>
    <t>$35,147 ($30,781)</t>
  </si>
  <si>
    <t>11.79 to 1</t>
  </si>
  <si>
    <t>92 (33/59)</t>
  </si>
  <si>
    <t>74.85%</t>
  </si>
  <si>
    <t>1,111</t>
  </si>
  <si>
    <t>$20,355 ($14,424)</t>
  </si>
  <si>
    <t>14.56 to 1</t>
  </si>
  <si>
    <t>28 (12/16)</t>
  </si>
  <si>
    <t>80.42%</t>
  </si>
  <si>
    <t>1,086</t>
  </si>
  <si>
    <t>$12,549 ($11,620)</t>
  </si>
  <si>
    <t>12.04 to 1</t>
  </si>
  <si>
    <t>149 (48/101)</t>
  </si>
  <si>
    <t>72.25%</t>
  </si>
  <si>
    <t>1,132</t>
  </si>
  <si>
    <t>$17,370 ($13,074)</t>
  </si>
  <si>
    <t>16.11 to 1</t>
  </si>
  <si>
    <t>410 (106/304)</t>
  </si>
  <si>
    <t>75.63%</t>
  </si>
  <si>
    <t>1,106</t>
  </si>
  <si>
    <t>$18,600 ($12,573)</t>
  </si>
  <si>
    <t>17.23 to 1</t>
  </si>
  <si>
    <t>63 (17/46)</t>
  </si>
  <si>
    <t>85.54%</t>
  </si>
  <si>
    <t>$18,971 ($10,074)</t>
  </si>
  <si>
    <t>18.79 to 1</t>
  </si>
  <si>
    <t>151 (44/107)</t>
  </si>
  <si>
    <t>74.66%</t>
  </si>
  <si>
    <t>1,168</t>
  </si>
  <si>
    <t>$21,281 ($16,525)</t>
  </si>
  <si>
    <t>15.18 to 1</t>
  </si>
  <si>
    <t>Virgin Islands</t>
  </si>
  <si>
    <t>2 (2/0)</t>
  </si>
  <si>
    <t>98.41%</t>
  </si>
  <si>
    <t>930</t>
  </si>
  <si>
    <t>$14,165 ($5,234)</t>
  </si>
  <si>
    <t>18 (6/12)</t>
  </si>
  <si>
    <t>70.85%</t>
  </si>
  <si>
    <t>1,279</t>
  </si>
  <si>
    <t>$38,904 ($29,694)</t>
  </si>
  <si>
    <t>10.92 to 1</t>
  </si>
  <si>
    <t>103 (46/57)</t>
  </si>
  <si>
    <t>81.60%</t>
  </si>
  <si>
    <t>1,213</t>
  </si>
  <si>
    <t>$19,004 ($13,905)</t>
  </si>
  <si>
    <t>14.43 to 1</t>
  </si>
  <si>
    <t>92 (32/60)</t>
  </si>
  <si>
    <t>80.99%</t>
  </si>
  <si>
    <t>1,158</t>
  </si>
  <si>
    <t>$22,042 ($16,347)</t>
  </si>
  <si>
    <t>13.00 to 1</t>
  </si>
  <si>
    <t>68 (38/30)</t>
  </si>
  <si>
    <t>82.83%</t>
  </si>
  <si>
    <t>1,042</t>
  </si>
  <si>
    <t>$15,120 ($10,783)</t>
  </si>
  <si>
    <t>14.67 to 1</t>
  </si>
  <si>
    <t>10 (8/2)</t>
  </si>
  <si>
    <t>96.78%</t>
  </si>
  <si>
    <t>$13,639 ($4,627)</t>
  </si>
  <si>
    <t>No. of Schools, Tution Fees, Students to Faculty ratio</t>
  </si>
  <si>
    <t>Definitive Healthcare</t>
  </si>
  <si>
    <t>How many hospitals are in each state?</t>
  </si>
  <si>
    <t>No. of Hospitals</t>
  </si>
  <si>
    <t>2018 Quarterly US Weather Data by State |</t>
  </si>
  <si>
    <t>Humidity, Temperature</t>
  </si>
  <si>
    <t>Row Labels</t>
  </si>
  <si>
    <t>Grand Total</t>
  </si>
  <si>
    <t>Umemployment Rate</t>
  </si>
  <si>
    <t>Income</t>
  </si>
  <si>
    <t>Rent</t>
  </si>
  <si>
    <t>No Of Hosp</t>
  </si>
  <si>
    <t>No of School</t>
  </si>
  <si>
    <t xml:space="preserve">Arizona </t>
  </si>
  <si>
    <t xml:space="preserve">California </t>
  </si>
  <si>
    <t xml:space="preserve">Colorado </t>
  </si>
  <si>
    <t xml:space="preserve">Florida </t>
  </si>
  <si>
    <t xml:space="preserve">Georgia </t>
  </si>
  <si>
    <t xml:space="preserve">Massachusetts </t>
  </si>
  <si>
    <t xml:space="preserve">New York </t>
  </si>
  <si>
    <t xml:space="preserve">North Carolina </t>
  </si>
  <si>
    <t xml:space="preserve">Texas </t>
  </si>
  <si>
    <t xml:space="preserve">Washington </t>
  </si>
  <si>
    <t>Best Place To Live</t>
  </si>
  <si>
    <t>Price Parity</t>
  </si>
  <si>
    <t>AQI</t>
  </si>
  <si>
    <t>Hum Spring</t>
  </si>
  <si>
    <t>Hum Summ</t>
  </si>
  <si>
    <t xml:space="preserve">Humi Fall </t>
  </si>
  <si>
    <t>Humi Winte</t>
  </si>
  <si>
    <t>Humidity</t>
  </si>
  <si>
    <t xml:space="preserve">Umemployment Rate     </t>
  </si>
  <si>
    <t xml:space="preserve"> CostOfLiving</t>
  </si>
  <si>
    <t>Please Select State:</t>
  </si>
  <si>
    <t>Avg Temperature</t>
  </si>
  <si>
    <t xml:space="preserve">CommuteTime     </t>
  </si>
  <si>
    <t>Number of Hospitals</t>
  </si>
  <si>
    <t>Number of  Schools</t>
  </si>
  <si>
    <t xml:space="preserve">Conclusion </t>
  </si>
  <si>
    <t>Avg Humidity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</si>
</sst>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0.0"/>
  </numFmts>
  <fonts count="23" x14ac:knownFonts="1">
    <font>
      <sz val="11"/>
      <color theme="1"/>
      <name val="Trebuchet MS"/>
      <family val="2"/>
      <scheme val="minor"/>
    </font>
    <font>
      <u/>
      <sz val="11"/>
      <color theme="10"/>
      <name val="Trebuchet MS"/>
      <family val="2"/>
      <scheme val="minor"/>
    </font>
    <font>
      <sz val="14"/>
      <color theme="1"/>
      <name val="Trebuchet MS"/>
      <family val="2"/>
      <scheme val="minor"/>
    </font>
    <font>
      <sz val="8"/>
      <name val="Trebuchet MS"/>
      <family val="2"/>
      <scheme val="minor"/>
    </font>
    <font>
      <sz val="11"/>
      <color theme="1"/>
      <name val="Trebuchet MS"/>
      <family val="2"/>
      <scheme val="minor"/>
    </font>
    <font>
      <b/>
      <sz val="16"/>
      <color theme="1"/>
      <name val="Trebuchet MS"/>
      <family val="2"/>
      <scheme val="minor"/>
    </font>
    <font>
      <b/>
      <sz val="11"/>
      <color theme="0"/>
      <name val="Trebuchet MS"/>
      <family val="2"/>
      <scheme val="minor"/>
    </font>
    <font>
      <b/>
      <sz val="20"/>
      <color theme="1"/>
      <name val="Trebuchet MS"/>
      <family val="2"/>
      <scheme val="minor"/>
    </font>
    <font>
      <b/>
      <sz val="36"/>
      <color theme="1"/>
      <name val="Trebuchet MS"/>
      <family val="2"/>
      <scheme val="minor"/>
    </font>
    <font>
      <b/>
      <sz val="11"/>
      <color rgb="FF003366"/>
      <name val="Calibri"/>
      <family val="2"/>
    </font>
    <font>
      <b/>
      <sz val="11"/>
      <color rgb="FF000080"/>
      <name val="Calibri"/>
      <family val="2"/>
    </font>
    <font>
      <b/>
      <sz val="14"/>
      <color theme="1"/>
      <name val="Trebuchet MS"/>
      <family val="2"/>
      <scheme val="minor"/>
    </font>
    <font>
      <sz val="12"/>
      <color theme="1"/>
      <name val="Trebuchet MS"/>
      <family val="2"/>
      <scheme val="minor"/>
    </font>
    <font>
      <u/>
      <sz val="12"/>
      <color theme="10"/>
      <name val="Trebuchet MS"/>
      <family val="2"/>
      <scheme val="minor"/>
    </font>
    <font>
      <sz val="11"/>
      <color theme="1"/>
      <name val="Arial"/>
      <family val="2"/>
    </font>
    <font>
      <sz val="14"/>
      <color theme="1"/>
      <name val="Calibri"/>
      <family val="2"/>
    </font>
    <font>
      <b/>
      <sz val="18"/>
      <color theme="1"/>
      <name val="Trebuchet MS"/>
      <family val="2"/>
      <scheme val="minor"/>
    </font>
    <font>
      <b/>
      <sz val="22"/>
      <color rgb="FF0000FF"/>
      <name val="Trebuchet MS"/>
      <family val="2"/>
    </font>
    <font>
      <sz val="18"/>
      <color theme="3"/>
      <name val="Trebuchet MS"/>
      <family val="2"/>
      <scheme val="major"/>
    </font>
    <font>
      <b/>
      <sz val="16"/>
      <color theme="8" tint="-0.499984740745262"/>
      <name val="Trebuchet MS"/>
      <family val="2"/>
      <scheme val="minor"/>
    </font>
    <font>
      <sz val="18"/>
      <color theme="1"/>
      <name val="Trebuchet MS"/>
      <family val="2"/>
      <scheme val="minor"/>
    </font>
    <font>
      <b/>
      <sz val="11"/>
      <color theme="1"/>
      <name val="Arial"/>
      <family val="2"/>
    </font>
    <font>
      <b/>
      <sz val="24"/>
      <color rgb="FF0000FF"/>
      <name val="Trebuchet MS"/>
      <family val="2"/>
    </font>
  </fonts>
  <fills count="12">
    <fill>
      <patternFill patternType="none"/>
    </fill>
    <fill>
      <patternFill patternType="gray125"/>
    </fill>
    <fill>
      <patternFill patternType="solid">
        <fgColor theme="9" tint="0.79998168889431442"/>
        <bgColor theme="9" tint="0.79998168889431442"/>
      </patternFill>
    </fill>
    <fill>
      <patternFill patternType="solid">
        <fgColor theme="0"/>
        <bgColor indexed="64"/>
      </patternFill>
    </fill>
    <fill>
      <patternFill patternType="solid">
        <fgColor theme="4" tint="0.39997558519241921"/>
        <bgColor indexed="65"/>
      </patternFill>
    </fill>
    <fill>
      <patternFill patternType="solid">
        <fgColor theme="4" tint="0.39997558519241921"/>
        <bgColor indexed="64"/>
      </patternFill>
    </fill>
    <fill>
      <patternFill patternType="solid">
        <fgColor rgb="FF92D050"/>
        <bgColor indexed="64"/>
      </patternFill>
    </fill>
    <fill>
      <patternFill patternType="solid">
        <fgColor rgb="FF92D050"/>
        <bgColor theme="9"/>
      </patternFill>
    </fill>
    <fill>
      <patternFill patternType="solid">
        <fgColor theme="0"/>
        <bgColor theme="9" tint="0.79998168889431442"/>
      </patternFill>
    </fill>
    <fill>
      <patternFill patternType="solid">
        <fgColor theme="4" tint="0.59999389629810485"/>
        <bgColor indexed="64"/>
      </patternFill>
    </fill>
    <fill>
      <patternFill patternType="solid">
        <fgColor theme="0"/>
        <bgColor theme="9"/>
      </patternFill>
    </fill>
    <fill>
      <patternFill patternType="solid">
        <fgColor theme="3" tint="0.39997558519241921"/>
        <bgColor indexed="64"/>
      </patternFill>
    </fill>
  </fills>
  <borders count="20">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4" fillId="4" borderId="0" applyNumberFormat="0" applyBorder="0" applyAlignment="0" applyProtection="0"/>
    <xf numFmtId="43" fontId="4" fillId="0" borderId="0" applyFont="0" applyFill="0" applyBorder="0" applyAlignment="0" applyProtection="0"/>
    <xf numFmtId="0" fontId="18" fillId="0" borderId="0" applyNumberFormat="0" applyFill="0" applyBorder="0" applyAlignment="0" applyProtection="0"/>
  </cellStyleXfs>
  <cellXfs count="69">
    <xf numFmtId="0" fontId="0" fillId="0" borderId="0" xfId="0"/>
    <xf numFmtId="0" fontId="0" fillId="0" borderId="0" xfId="0" pivotButton="1"/>
    <xf numFmtId="0" fontId="0" fillId="0" borderId="0" xfId="0" applyAlignment="1">
      <alignment horizontal="left"/>
    </xf>
    <xf numFmtId="1" fontId="0" fillId="0" borderId="0" xfId="0" applyNumberFormat="1"/>
    <xf numFmtId="0" fontId="0" fillId="2" borderId="1" xfId="0" applyFill="1" applyBorder="1"/>
    <xf numFmtId="0" fontId="0" fillId="2" borderId="2" xfId="0" applyFill="1" applyBorder="1"/>
    <xf numFmtId="0" fontId="0" fillId="0" borderId="1" xfId="0" applyBorder="1"/>
    <xf numFmtId="0" fontId="0" fillId="0" borderId="2" xfId="0" applyBorder="1"/>
    <xf numFmtId="0" fontId="0" fillId="0" borderId="3" xfId="0" applyBorder="1"/>
    <xf numFmtId="0" fontId="0" fillId="2" borderId="3" xfId="0" applyFill="1" applyBorder="1"/>
    <xf numFmtId="164" fontId="0" fillId="0" borderId="0" xfId="0" applyNumberFormat="1"/>
    <xf numFmtId="0" fontId="0" fillId="3" borderId="0" xfId="0" applyFill="1"/>
    <xf numFmtId="0" fontId="2" fillId="3" borderId="0" xfId="0" applyFont="1" applyFill="1"/>
    <xf numFmtId="0" fontId="0" fillId="8" borderId="7" xfId="0" applyFill="1" applyBorder="1"/>
    <xf numFmtId="0" fontId="0" fillId="8" borderId="8" xfId="0" applyFill="1" applyBorder="1"/>
    <xf numFmtId="0" fontId="0" fillId="3" borderId="7" xfId="0" applyFill="1" applyBorder="1"/>
    <xf numFmtId="0" fontId="0" fillId="3" borderId="8" xfId="0" applyFill="1" applyBorder="1"/>
    <xf numFmtId="0" fontId="0" fillId="3" borderId="9" xfId="0" applyFill="1" applyBorder="1"/>
    <xf numFmtId="0" fontId="0" fillId="3" borderId="10" xfId="0" applyFill="1" applyBorder="1"/>
    <xf numFmtId="0" fontId="6" fillId="7" borderId="5" xfId="0" applyFont="1" applyFill="1" applyBorder="1" applyAlignment="1">
      <alignment horizontal="center"/>
    </xf>
    <xf numFmtId="0" fontId="6" fillId="7" borderId="6" xfId="0" applyFont="1" applyFill="1" applyBorder="1" applyAlignment="1">
      <alignment horizontal="center"/>
    </xf>
    <xf numFmtId="0" fontId="2" fillId="8" borderId="7" xfId="0" applyFont="1" applyFill="1" applyBorder="1"/>
    <xf numFmtId="0" fontId="2" fillId="8" borderId="8" xfId="0" applyFont="1" applyFill="1" applyBorder="1"/>
    <xf numFmtId="0" fontId="2" fillId="3" borderId="7" xfId="0" applyFont="1" applyFill="1" applyBorder="1"/>
    <xf numFmtId="0" fontId="2" fillId="3" borderId="8" xfId="0" applyFont="1" applyFill="1" applyBorder="1"/>
    <xf numFmtId="0" fontId="2" fillId="3" borderId="9" xfId="0" applyFont="1" applyFill="1" applyBorder="1"/>
    <xf numFmtId="0" fontId="2" fillId="3" borderId="10" xfId="0" applyFont="1" applyFill="1" applyBorder="1"/>
    <xf numFmtId="0" fontId="0" fillId="5" borderId="0" xfId="0" applyFill="1"/>
    <xf numFmtId="0" fontId="0" fillId="9" borderId="0" xfId="0" applyFill="1"/>
    <xf numFmtId="0" fontId="2" fillId="0" borderId="0" xfId="0" applyFont="1"/>
    <xf numFmtId="0" fontId="0" fillId="0" borderId="0" xfId="0" applyAlignment="1">
      <alignment horizontal="center"/>
    </xf>
    <xf numFmtId="0" fontId="12" fillId="0" borderId="0" xfId="0" applyFont="1" applyAlignment="1">
      <alignment horizontal="left" vertical="top"/>
    </xf>
    <xf numFmtId="0" fontId="13" fillId="0" borderId="0" xfId="1" applyFont="1" applyFill="1" applyAlignment="1">
      <alignment horizontal="left" vertical="top"/>
    </xf>
    <xf numFmtId="0" fontId="12" fillId="0" borderId="0" xfId="0" applyFont="1" applyAlignment="1">
      <alignment horizontal="left" vertical="top" wrapText="1"/>
    </xf>
    <xf numFmtId="0" fontId="5" fillId="10" borderId="5" xfId="0" applyFont="1" applyFill="1" applyBorder="1" applyAlignment="1">
      <alignment horizontal="center"/>
    </xf>
    <xf numFmtId="0" fontId="5" fillId="10" borderId="6" xfId="0" applyFont="1" applyFill="1" applyBorder="1" applyAlignment="1">
      <alignment horizontal="center"/>
    </xf>
    <xf numFmtId="0" fontId="14" fillId="3" borderId="4" xfId="0" applyFont="1" applyFill="1" applyBorder="1"/>
    <xf numFmtId="0" fontId="14" fillId="0" borderId="0" xfId="0" applyFont="1"/>
    <xf numFmtId="165" fontId="14" fillId="3" borderId="4" xfId="3" applyNumberFormat="1" applyFont="1" applyFill="1" applyBorder="1"/>
    <xf numFmtId="0" fontId="14" fillId="3" borderId="0" xfId="0" applyFont="1" applyFill="1"/>
    <xf numFmtId="0" fontId="15" fillId="9" borderId="4" xfId="0" applyFont="1" applyFill="1" applyBorder="1" applyAlignment="1">
      <alignment horizontal="center" vertical="top"/>
    </xf>
    <xf numFmtId="0" fontId="15" fillId="3" borderId="4" xfId="0" applyFont="1" applyFill="1" applyBorder="1" applyAlignment="1">
      <alignment horizontal="center" vertical="top"/>
    </xf>
    <xf numFmtId="165" fontId="15" fillId="3" borderId="4" xfId="3" applyNumberFormat="1" applyFont="1" applyFill="1" applyBorder="1" applyAlignment="1">
      <alignment horizontal="center" vertical="center"/>
    </xf>
    <xf numFmtId="0" fontId="15" fillId="3" borderId="0" xfId="0" applyFont="1" applyFill="1" applyAlignment="1">
      <alignment horizontal="center" vertical="top"/>
    </xf>
    <xf numFmtId="0" fontId="15" fillId="3" borderId="0" xfId="0" applyFont="1" applyFill="1" applyAlignment="1">
      <alignment horizontal="center" vertical="center"/>
    </xf>
    <xf numFmtId="0" fontId="15" fillId="9" borderId="4" xfId="0" applyFont="1" applyFill="1" applyBorder="1" applyAlignment="1">
      <alignment horizontal="center" vertical="center"/>
    </xf>
    <xf numFmtId="10" fontId="0" fillId="0" borderId="0" xfId="0" applyNumberFormat="1"/>
    <xf numFmtId="0" fontId="0" fillId="3" borderId="13" xfId="0" applyFill="1" applyBorder="1"/>
    <xf numFmtId="0" fontId="7" fillId="6" borderId="15" xfId="0" applyFont="1" applyFill="1" applyBorder="1" applyAlignment="1">
      <alignment horizontal="center"/>
    </xf>
    <xf numFmtId="0" fontId="16" fillId="4" borderId="15" xfId="2" applyFont="1" applyBorder="1"/>
    <xf numFmtId="0" fontId="7" fillId="6" borderId="14" xfId="0" applyFont="1" applyFill="1" applyBorder="1" applyAlignment="1">
      <alignment horizontal="center"/>
    </xf>
    <xf numFmtId="0" fontId="5" fillId="6" borderId="15" xfId="0" applyFont="1" applyFill="1" applyBorder="1" applyAlignment="1">
      <alignment horizontal="center"/>
    </xf>
    <xf numFmtId="0" fontId="5" fillId="6" borderId="12" xfId="0" applyFont="1" applyFill="1" applyBorder="1" applyAlignment="1">
      <alignment horizontal="center"/>
    </xf>
    <xf numFmtId="0" fontId="7" fillId="6" borderId="12" xfId="0" applyFont="1" applyFill="1" applyBorder="1" applyAlignment="1">
      <alignment horizontal="center"/>
    </xf>
    <xf numFmtId="1" fontId="20" fillId="3" borderId="14" xfId="0" applyNumberFormat="1" applyFont="1" applyFill="1" applyBorder="1" applyAlignment="1">
      <alignment horizontal="center"/>
    </xf>
    <xf numFmtId="1" fontId="16" fillId="3" borderId="14" xfId="0" applyNumberFormat="1" applyFont="1" applyFill="1" applyBorder="1" applyAlignment="1">
      <alignment horizontal="center"/>
    </xf>
    <xf numFmtId="0" fontId="0" fillId="3" borderId="16" xfId="0" applyFill="1" applyBorder="1" applyAlignment="1">
      <alignment horizontal="center"/>
    </xf>
    <xf numFmtId="165" fontId="19" fillId="3" borderId="14" xfId="3" applyNumberFormat="1" applyFont="1" applyFill="1" applyBorder="1" applyAlignment="1">
      <alignment horizontal="center" vertical="center"/>
    </xf>
    <xf numFmtId="1" fontId="0" fillId="0" borderId="2" xfId="0" applyNumberFormat="1" applyBorder="1"/>
    <xf numFmtId="0" fontId="21" fillId="3" borderId="4" xfId="0" applyFont="1" applyFill="1" applyBorder="1"/>
    <xf numFmtId="165" fontId="21" fillId="3" borderId="4" xfId="3" applyNumberFormat="1" applyFont="1" applyFill="1" applyBorder="1"/>
    <xf numFmtId="0" fontId="21" fillId="3" borderId="11" xfId="0" applyFont="1" applyFill="1" applyBorder="1"/>
    <xf numFmtId="166" fontId="21" fillId="3" borderId="4" xfId="0" applyNumberFormat="1" applyFont="1" applyFill="1" applyBorder="1"/>
    <xf numFmtId="1" fontId="21" fillId="3" borderId="4" xfId="0" applyNumberFormat="1" applyFont="1" applyFill="1" applyBorder="1"/>
    <xf numFmtId="0" fontId="11" fillId="5" borderId="0" xfId="0" applyFont="1" applyFill="1" applyAlignment="1">
      <alignment horizontal="center"/>
    </xf>
    <xf numFmtId="0" fontId="8" fillId="5" borderId="0" xfId="0" applyFont="1" applyFill="1" applyAlignment="1">
      <alignment horizontal="center" vertical="center"/>
    </xf>
    <xf numFmtId="0" fontId="18" fillId="11" borderId="17" xfId="4" applyFill="1" applyBorder="1" applyAlignment="1">
      <alignment horizontal="center"/>
    </xf>
    <xf numFmtId="0" fontId="18" fillId="11" borderId="18" xfId="4" applyFill="1" applyBorder="1" applyAlignment="1">
      <alignment horizontal="center"/>
    </xf>
    <xf numFmtId="0" fontId="18" fillId="11" borderId="19" xfId="4" applyFill="1" applyBorder="1" applyAlignment="1">
      <alignment horizontal="center"/>
    </xf>
  </cellXfs>
  <cellStyles count="5">
    <cellStyle name="60% - Accent1" xfId="2" builtinId="32"/>
    <cellStyle name="Comma" xfId="3" builtinId="3"/>
    <cellStyle name="Hyperlink" xfId="1" builtinId="8"/>
    <cellStyle name="Normal" xfId="0" builtinId="0"/>
    <cellStyle name="Title" xfId="4" builtinId="15"/>
  </cellStyles>
  <dxfs count="27">
    <dxf>
      <font>
        <b val="0"/>
        <i val="0"/>
        <strike val="0"/>
        <condense val="0"/>
        <extend val="0"/>
        <outline val="0"/>
        <shadow val="0"/>
        <u val="none"/>
        <vertAlign val="baseline"/>
        <sz val="11"/>
        <color theme="1"/>
        <name val="Trebuchet MS"/>
        <family val="2"/>
        <scheme val="minor"/>
      </font>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Trebuchet MS"/>
        <family val="2"/>
        <scheme val="minor"/>
      </font>
      <fill>
        <patternFill>
          <bgColor theme="0"/>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rebuchet MS"/>
        <family val="2"/>
        <scheme val="minor"/>
      </font>
    </dxf>
    <dxf>
      <border>
        <bottom style="thin">
          <color indexed="64"/>
        </bottom>
      </border>
    </dxf>
    <dxf>
      <font>
        <b/>
        <i val="0"/>
        <strike val="0"/>
        <condense val="0"/>
        <extend val="0"/>
        <outline val="0"/>
        <shadow val="0"/>
        <u val="none"/>
        <vertAlign val="baseline"/>
        <sz val="11"/>
        <color theme="0"/>
        <name val="Trebuchet MS"/>
        <family val="2"/>
        <scheme val="minor"/>
      </font>
      <fill>
        <patternFill patternType="solid">
          <fgColor theme="9"/>
          <bgColor rgb="FF92D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4"/>
        <color theme="1"/>
        <name val="Trebuchet MS"/>
        <family val="2"/>
        <scheme val="minor"/>
      </font>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4"/>
        <color theme="1"/>
        <name val="Trebuchet MS"/>
        <family val="2"/>
        <scheme val="minor"/>
      </font>
      <fill>
        <patternFill>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Trebuchet MS"/>
        <family val="2"/>
        <scheme val="minor"/>
      </font>
    </dxf>
    <dxf>
      <border>
        <bottom style="thin">
          <color indexed="64"/>
        </bottom>
      </border>
    </dxf>
    <dxf>
      <font>
        <b/>
        <i val="0"/>
        <strike val="0"/>
        <condense val="0"/>
        <extend val="0"/>
        <outline val="0"/>
        <shadow val="0"/>
        <u val="none"/>
        <vertAlign val="baseline"/>
        <sz val="16"/>
        <color theme="1"/>
        <name val="Trebuchet MS"/>
        <family val="2"/>
        <scheme val="minor"/>
      </font>
      <fill>
        <patternFill patternType="solid">
          <fgColor theme="9"/>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#Dashboard.xlsm]Rent vs Income!PivotTable1</c:name>
    <c:fmtId val="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2400" b="1"/>
              <a:t>Income Vs Rent By State</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'Rent vs Income'!$C$3</c:f>
              <c:strCache>
                <c:ptCount val="1"/>
                <c:pt idx="0">
                  <c:v>Income</c:v>
                </c:pt>
              </c:strCache>
            </c:strRef>
          </c:tx>
          <c:spPr>
            <a:solidFill>
              <a:schemeClr val="accent2"/>
            </a:solidFill>
            <a:ln>
              <a:noFill/>
            </a:ln>
            <a:effectLst/>
          </c:spPr>
          <c:invertIfNegative val="0"/>
          <c:cat>
            <c:strRef>
              <c:f>'Rent vs Income'!$A$4:$A$12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'Rent vs Income'!$C$4:$C$12</c:f>
              <c:numCache>
                <c:formatCode>"$"#,##0</c:formatCode>
                <c:ptCount val="8"/>
                <c:pt idx="0">
                  <c:v>63762.571428571428</c:v>
                </c:pt>
                <c:pt idx="1">
                  <c:v>60946.25</c:v>
                </c:pt>
                <c:pt idx="2">
                  <c:v>49288.666666666664</c:v>
                </c:pt>
                <c:pt idx="3">
                  <c:v>70850.75</c:v>
                </c:pt>
                <c:pt idx="4">
                  <c:v>59564.7</c:v>
                </c:pt>
                <c:pt idx="5">
                  <c:v>53949.166666666664</c:v>
                </c:pt>
                <c:pt idx="6">
                  <c:v>55109.919999999998</c:v>
                </c:pt>
                <c:pt idx="7">
                  <c:v>60277</c:v>
                </c:pt>
              </c:numCache>
            </c:numRef>
          </c:val>
          <c:extLst>
            <c:ext xmlns:c16="http://schemas.microsoft.com/office/drawing/2014/chart" uri="{C3380CC4-5D6E-409C-BE32-E72D297353CC}">
              <c16:uniqueId val="{00000001-F9AD-4E20-8A21-50A750262E23}"/>
            </c:ext>
          </c:extLst>
        </c:ser>
        <c:dLbls>
          <c:showLegendKey val="0"/>
          <c:showVal val="0"/>
          <c:showCatName val="0"/>
          <c:showSerName val="0"/>
          <c:showPercent val="0"/>
          <c:showBubbleSize val="0"/>
        </c:dLbls>
        <c:gapWidth val="219"/>
        <c:axId val="2042284559"/>
        <c:axId val="2042283119"/>
      </c:barChart>
      <c:lineChart>
        <c:grouping val="standard"/>
        <c:varyColors val="0"/>
        <c:ser>
          <c:idx val="0"/>
          <c:order val="0"/>
          <c:tx>
            <c:strRef>
              <c:f>'Rent vs Income'!$B$3</c:f>
              <c:strCache>
                <c:ptCount val="1"/>
                <c:pt idx="0">
                  <c:v>Rent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'Rent vs Income'!$A$4:$A$12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'Rent vs Income'!$B$4:$B$12</c:f>
              <c:numCache>
                <c:formatCode>"$"#,##0</c:formatCode>
                <c:ptCount val="8"/>
                <c:pt idx="0">
                  <c:v>1752.7142857142858</c:v>
                </c:pt>
                <c:pt idx="1">
                  <c:v>2034.35</c:v>
                </c:pt>
                <c:pt idx="2">
                  <c:v>1453.9166666666667</c:v>
                </c:pt>
                <c:pt idx="3">
                  <c:v>1980</c:v>
                </c:pt>
                <c:pt idx="4">
                  <c:v>1670.6</c:v>
                </c:pt>
                <c:pt idx="5">
                  <c:v>1495.5833333333333</c:v>
                </c:pt>
                <c:pt idx="6">
                  <c:v>1393.6</c:v>
                </c:pt>
                <c:pt idx="7">
                  <c:v>1733.3636363636363</c:v>
                </c:pt>
              </c:numCache>
            </c:numRef>
          </c:val>
          <c:smooth val="0"/>
          <c:extLst>
            <c:ext xmlns:c16="http://schemas.microsoft.com/office/drawing/2014/chart" uri="{C3380CC4-5D6E-409C-BE32-E72D297353CC}">
              <c16:uniqueId val="{00000000-F9AD-4E20-8A21-50A750262E23}"/>
            </c:ext>
          </c:extLst>
        </c:ser>
        <c:dLbls>
          <c:showLegendKey val="0"/>
          <c:showVal val="0"/>
          <c:showCatName val="0"/>
          <c:showSerName val="0"/>
          <c:showPercent val="0"/>
          <c:showBubbleSize val="0"/>
        </c:dLbls>
        <c:marker val="1"/>
        <c:smooth val="0"/>
        <c:axId val="349890271"/>
        <c:axId val="349894111"/>
      </c:lineChart>
      <c:catAx>
        <c:axId val="204228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042283119"/>
        <c:crosses val="autoZero"/>
        <c:auto val="1"/>
        <c:lblAlgn val="ctr"/>
        <c:lblOffset val="100"/>
        <c:noMultiLvlLbl val="0"/>
      </c:catAx>
      <c:valAx>
        <c:axId val="2042283119"/>
        <c:scaling>
          <c:orientation val="minMax"/>
        </c:scaling>
        <c:delete val="0"/>
        <c:axPos val="l"/>
        <c:title>
          <c:tx>
            <c:rich>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r>
                  <a:rPr lang="en-US" sz="1600"/>
                  <a:t>Avg</a:t>
                </a:r>
                <a:r>
                  <a:rPr lang="en-US" sz="1600" baseline="0"/>
                  <a:t> Income</a:t>
                </a:r>
                <a:endParaRPr lang="en-US" sz="1600"/>
              </a:p>
            </c:rich>
          </c:tx>
          <c:layout>
            <c:manualLayout>
              <c:xMode val="edge"/>
              <c:yMode val="edge"/>
              <c:x val="0"/>
              <c:y val="0.26699432401547002"/>
            </c:manualLayout>
          </c:layout>
          <c:overlay val="0"/>
          <c:spPr>
            <a:noFill/>
            <a:ln>
              <a:noFill/>
            </a:ln>
            <a:effectLst/>
          </c:spPr>
          <c:txPr>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2042284559"/>
        <c:crosses val="autoZero"/>
        <c:crossBetween val="between"/>
      </c:valAx>
      <c:valAx>
        <c:axId val="349894111"/>
        <c:scaling>
          <c:orientation val="minMax"/>
        </c:scaling>
        <c:delete val="0"/>
        <c:axPos val="r"/>
        <c:title>
          <c:tx>
            <c:rich>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r>
                  <a:rPr lang="en-US" sz="1600"/>
                  <a:t> Avg</a:t>
                </a:r>
                <a:r>
                  <a:rPr lang="en-US" sz="1600" baseline="0"/>
                  <a:t> Rent</a:t>
                </a:r>
                <a:endParaRPr lang="en-US" sz="1600"/>
              </a:p>
            </c:rich>
          </c:tx>
          <c:layout>
            <c:manualLayout>
              <c:xMode val="edge"/>
              <c:yMode val="edge"/>
              <c:x val="0.96432141063957233"/>
              <c:y val="0.28735966367846949"/>
            </c:manualLayout>
          </c:layout>
          <c:overlay val="0"/>
          <c:spPr>
            <a:noFill/>
            <a:ln>
              <a:noFill/>
            </a:ln>
            <a:effectLst/>
          </c:spPr>
          <c:txPr>
            <a:bodyPr rot="-5400000" spcFirstLastPara="1" vertOverflow="ellipsis" vert="horz" wrap="square" anchor="ctr" anchorCtr="1"/>
            <a:lstStyle/>
            <a:p>
              <a:pPr>
                <a:defRPr lang="en-US" sz="1600" b="0" i="0" u="none" strike="noStrike" kern="1200" baseline="0">
                  <a:solidFill>
                    <a:schemeClr val="tx1"/>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crossAx val="349890271"/>
        <c:crosses val="max"/>
        <c:crossBetween val="between"/>
      </c:valAx>
      <c:catAx>
        <c:axId val="349890271"/>
        <c:scaling>
          <c:orientation val="minMax"/>
        </c:scaling>
        <c:delete val="1"/>
        <c:axPos val="b"/>
        <c:numFmt formatCode="General" sourceLinked="1"/>
        <c:majorTickMark val="out"/>
        <c:minorTickMark val="none"/>
        <c:tickLblPos val="nextTo"/>
        <c:crossAx val="349894111"/>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lang="en-US" sz="1400" b="0"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#Dashboard.xlsm]Unemployment Rate!PivotTable2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1"/>
                </a:solidFill>
              </a:rPr>
              <a:t>Unemployment</a:t>
            </a:r>
            <a:r>
              <a:rPr lang="en-US" sz="2400" b="1" baseline="0">
                <a:solidFill>
                  <a:schemeClr val="tx1"/>
                </a:solidFill>
              </a:rPr>
              <a:t> Rate By State</a:t>
            </a:r>
            <a:endParaRPr lang="en-US" sz="2400" b="1">
              <a:solidFill>
                <a:schemeClr val="tx1"/>
              </a:solidFill>
            </a:endParaRPr>
          </a:p>
        </c:rich>
      </c:tx>
      <c:layout>
        <c:manualLayout>
          <c:xMode val="edge"/>
          <c:yMode val="edge"/>
          <c:x val="0.17977777777777779"/>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'Unemployment Rate'!$B$3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'Unemployment Rate'!$A$4:$A$12</c:f>
              <c:strCache>
                <c:ptCount val="8"/>
                <c:pt idx="0">
                  <c:v>Florida</c:v>
                </c:pt>
                <c:pt idx="1">
                  <c:v>Massachusetts</c:v>
                </c:pt>
                <c:pt idx="2">
                  <c:v>Georgia</c:v>
                </c:pt>
                <c:pt idx="3">
                  <c:v>Colorado</c:v>
                </c:pt>
                <c:pt idx="4">
                  <c:v>New York</c:v>
                </c:pt>
                <c:pt idx="5">
                  <c:v>North Carolina</c:v>
                </c:pt>
                <c:pt idx="6">
                  <c:v>Texas</c:v>
                </c:pt>
                <c:pt idx="7">
                  <c:v>Washington</c:v>
                </c:pt>
              </c:strCache>
            </c:strRef>
          </c:cat>
          <c:val>
            <c:numRef>
              <c:f>'Unemployment Rate'!$B$4:$B$12</c:f>
              <c:numCache>
                <c:formatCode>0.00%</c:formatCode>
                <c:ptCount val="8"/>
                <c:pt idx="0">
                  <c:v>2.4550000000000009E-2</c:v>
                </c:pt>
                <c:pt idx="1">
                  <c:v>2.4750000000000001E-2</c:v>
                </c:pt>
                <c:pt idx="2">
                  <c:v>2.8000000000000008E-2</c:v>
                </c:pt>
                <c:pt idx="3">
                  <c:v>2.9714285714285717E-2</c:v>
                </c:pt>
                <c:pt idx="4">
                  <c:v>3.0699999999999998E-2</c:v>
                </c:pt>
                <c:pt idx="5">
                  <c:v>3.4166666666666672E-2</c:v>
                </c:pt>
                <c:pt idx="6">
                  <c:v>3.7360000000000011E-2</c:v>
                </c:pt>
                <c:pt idx="7">
                  <c:v>5.4727272727272736E-2</c:v>
                </c:pt>
              </c:numCache>
            </c:numRef>
          </c:val>
          <c:extLst>
            <c:ext xmlns:c16="http://schemas.microsoft.com/office/drawing/2014/chart" uri="{C3380CC4-5D6E-409C-BE32-E72D297353CC}">
              <c16:uniqueId val="{00000000-9924-4CBA-BF16-2DAAB18D0ED1}"/>
            </c:ext>
          </c:extLst>
        </c:ser>
        <c:dLbls>
          <c:dLblPos val="outEnd"/>
          <c:showLegendKey val="0"/>
          <c:showVal val="1"/>
          <c:showCatName val="0"/>
          <c:showSerName val="0"/>
          <c:showPercent val="0"/>
          <c:showBubbleSize val="0"/>
        </c:dLbls>
        <c:gapWidth val="182"/>
        <c:axId val="335098095"/>
        <c:axId val="335097135"/>
      </c:barChart>
      <c:catAx>
        <c:axId val="335098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35097135"/>
        <c:crosses val="autoZero"/>
        <c:auto val="1"/>
        <c:lblAlgn val="ctr"/>
        <c:lblOffset val="100"/>
        <c:noMultiLvlLbl val="0"/>
      </c:catAx>
      <c:valAx>
        <c:axId val="335097135"/>
        <c:scaling>
          <c:orientation val="minMax"/>
        </c:scaling>
        <c:delete val="1"/>
        <c:axPos val="b"/>
        <c:numFmt formatCode="0.00%" sourceLinked="1"/>
        <c:majorTickMark val="none"/>
        <c:minorTickMark val="none"/>
        <c:tickLblPos val="nextTo"/>
        <c:crossAx val="335098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#Dashboard.xlsm]Transit Score!PivotTable2</c:name>
    <c:fmtId val="2"/>
  </c:pivotSource>
  <c:chart>
    <c:title>
      <c:tx>
        <c:rich>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r>
              <a:rPr lang="en-US" sz="2400" b="1">
                <a:solidFill>
                  <a:schemeClr val="tx1"/>
                </a:solidFill>
              </a:rPr>
              <a:t>Cost</a:t>
            </a:r>
            <a:r>
              <a:rPr lang="en-US" sz="2400" b="1" baseline="0">
                <a:solidFill>
                  <a:schemeClr val="tx1"/>
                </a:solidFill>
              </a:rPr>
              <a:t> Of Living Index By State</a:t>
            </a:r>
            <a:endParaRPr lang="en-US" sz="2400" b="1">
              <a:solidFill>
                <a:schemeClr val="tx1"/>
              </a:solidFill>
            </a:endParaRPr>
          </a:p>
        </c:rich>
      </c:tx>
      <c:layout>
        <c:manualLayout>
          <c:xMode val="edge"/>
          <c:yMode val="edge"/>
          <c:x val="0.29726856898610693"/>
          <c:y val="4.5677721511576862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13559323879067"/>
          <c:y val="0.18305646301405074"/>
          <c:w val="0.85984096574521207"/>
          <c:h val="0.52776860356334787"/>
        </c:manualLayout>
      </c:layout>
      <c:areaChart>
        <c:grouping val="standard"/>
        <c:varyColors val="0"/>
        <c:ser>
          <c:idx val="0"/>
          <c:order val="0"/>
          <c:tx>
            <c:strRef>
              <c:f>'Transit Score'!$B$3</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'Transit Score'!$A$4:$A$12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'Transit Score'!$B$4:$B$12</c:f>
              <c:numCache>
                <c:formatCode>0</c:formatCode>
                <c:ptCount val="8"/>
                <c:pt idx="0">
                  <c:v>105.51428571428572</c:v>
                </c:pt>
                <c:pt idx="1">
                  <c:v>100.3</c:v>
                </c:pt>
                <c:pt idx="2">
                  <c:v>92.424999999999997</c:v>
                </c:pt>
                <c:pt idx="3">
                  <c:v>114.675</c:v>
                </c:pt>
                <c:pt idx="4">
                  <c:v>100.87</c:v>
                </c:pt>
                <c:pt idx="5">
                  <c:v>93.566666666666663</c:v>
                </c:pt>
                <c:pt idx="6">
                  <c:v>91.191999999999993</c:v>
                </c:pt>
                <c:pt idx="7">
                  <c:v>107.17272727272729</c:v>
                </c:pt>
              </c:numCache>
            </c:numRef>
          </c:val>
          <c:extLst>
            <c:ext xmlns:c16="http://schemas.microsoft.com/office/drawing/2014/chart" uri="{C3380CC4-5D6E-409C-BE32-E72D297353CC}">
              <c16:uniqueId val="{00000000-CE14-4981-9A48-2DE6063649EA}"/>
            </c:ext>
          </c:extLst>
        </c:ser>
        <c:dLbls>
          <c:showLegendKey val="0"/>
          <c:showVal val="1"/>
          <c:showCatName val="0"/>
          <c:showSerName val="0"/>
          <c:showPercent val="0"/>
          <c:showBubbleSize val="0"/>
        </c:dLbls>
        <c:axId val="577564368"/>
        <c:axId val="577551408"/>
      </c:areaChart>
      <c:catAx>
        <c:axId val="57756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577551408"/>
        <c:crosses val="autoZero"/>
        <c:auto val="1"/>
        <c:lblAlgn val="ctr"/>
        <c:lblOffset val="100"/>
        <c:noMultiLvlLbl val="0"/>
      </c:catAx>
      <c:valAx>
        <c:axId val="577551408"/>
        <c:scaling>
          <c:orientation val="minMax"/>
        </c:scaling>
        <c:delete val="1"/>
        <c:axPos val="l"/>
        <c:numFmt formatCode="0" sourceLinked="1"/>
        <c:majorTickMark val="none"/>
        <c:minorTickMark val="none"/>
        <c:tickLblPos val="nextTo"/>
        <c:crossAx val="577564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#Dashboard.xlsm]Commute Time!PivotTable1</c:name>
    <c:fmtId val="1"/>
  </c:pivotSource>
  <c:chart>
    <c:title>
      <c:tx>
        <c:rich>
          <a:bodyPr rot="0" spcFirstLastPara="1" vertOverflow="ellipsis" vert="horz" wrap="square" anchor="ctr" anchorCtr="1"/>
          <a:lstStyle/>
          <a:p>
            <a:pPr>
              <a:defRPr lang="en-US" sz="1080" b="1" i="0" u="none" strike="noStrike" kern="1200" baseline="0">
                <a:solidFill>
                  <a:schemeClr val="lt1"/>
                </a:solidFill>
                <a:latin typeface="+mn-lt"/>
                <a:ea typeface="+mn-ea"/>
                <a:cs typeface="+mn-cs"/>
              </a:defRPr>
            </a:pPr>
            <a:r>
              <a:rPr lang="en-US" sz="2400">
                <a:solidFill>
                  <a:schemeClr val="tx1"/>
                </a:solidFill>
              </a:rPr>
              <a:t>Commute</a:t>
            </a:r>
            <a:r>
              <a:rPr lang="en-US" sz="1800" baseline="0">
                <a:solidFill>
                  <a:schemeClr val="tx1"/>
                </a:solidFill>
              </a:rPr>
              <a:t> </a:t>
            </a:r>
            <a:r>
              <a:rPr lang="en-US" sz="2400" baseline="0">
                <a:solidFill>
                  <a:schemeClr val="tx1"/>
                </a:solidFill>
              </a:rPr>
              <a:t>Time By State</a:t>
            </a:r>
            <a:endParaRPr lang="en-US" sz="2400">
              <a:solidFill>
                <a:schemeClr val="tx1"/>
              </a:solidFill>
            </a:endParaRPr>
          </a:p>
        </c:rich>
      </c:tx>
      <c:overlay val="0"/>
      <c:spPr>
        <a:noFill/>
        <a:ln>
          <a:noFill/>
        </a:ln>
        <a:effectLst/>
      </c:spPr>
      <c:txPr>
        <a:bodyPr rot="0" spcFirstLastPara="1" vertOverflow="ellipsis" vert="horz" wrap="square" anchor="ctr" anchorCtr="1"/>
        <a:lstStyle/>
        <a:p>
          <a:pPr>
            <a:defRPr lang="en-US" sz="1080" b="1" i="0" u="none" strike="noStrike" kern="120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anchor="ctr" anchorCtr="1"/>
            <a:lstStyle/>
            <a:p>
              <a:pPr algn="ctr" rtl="0">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6806971390989801E-2"/>
                  <c:h val="0.12589480236539061"/>
                </c:manualLayout>
              </c15:layout>
            </c:ext>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6806971390989801E-2"/>
                  <c:h val="0.10410830999066292"/>
                </c:manualLayout>
              </c15:layout>
            </c:ext>
          </c:extLst>
        </c:dLbl>
      </c:pivotFmt>
      <c:pivotFmt>
        <c:idx val="4"/>
        <c:spPr>
          <a:ln w="31750" cap="rnd">
            <a:solidFill>
              <a:schemeClr val="accent1"/>
            </a:solidFill>
            <a:round/>
          </a:ln>
          <a:effectLst/>
        </c:spPr>
        <c:marker>
          <c:symbol val="circle"/>
          <c:size val="17"/>
          <c:spPr>
            <a:solidFill>
              <a:schemeClr val="accent1"/>
            </a:solidFill>
            <a:ln>
              <a:noFill/>
            </a:ln>
            <a:effectLst/>
          </c:spPr>
        </c:marker>
      </c:pivotFmt>
      <c:pivotFmt>
        <c:idx val="5"/>
        <c:spPr>
          <a:ln w="31750" cap="rnd">
            <a:solidFill>
              <a:schemeClr val="accent1"/>
            </a:solidFill>
            <a:round/>
          </a:ln>
          <a:effectLst/>
        </c:spPr>
        <c:marker>
          <c:symbol val="circle"/>
          <c:size val="17"/>
          <c:spPr>
            <a:solidFill>
              <a:schemeClr val="accent1"/>
            </a:solidFill>
            <a:ln>
              <a:noFill/>
            </a:ln>
            <a:effectLst/>
          </c:spPr>
        </c:marker>
      </c:pivotFmt>
      <c:pivotFmt>
        <c:idx val="6"/>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16047352844459E-2"/>
                  <c:h val="0.12672663026019917"/>
                </c:manualLayout>
              </c15:layout>
            </c:ext>
          </c:extLst>
        </c:dLbl>
      </c:pivotFmt>
      <c:pivotFmt>
        <c:idx val="7"/>
        <c:spPr>
          <a:ln w="31750" cap="rnd">
            <a:solidFill>
              <a:schemeClr val="accent1"/>
            </a:solidFill>
            <a:round/>
          </a:ln>
          <a:effectLst/>
        </c:spPr>
        <c:marker>
          <c:symbol val="circle"/>
          <c:size val="17"/>
          <c:spPr>
            <a:solidFill>
              <a:schemeClr val="accent1"/>
            </a:solidFill>
            <a:ln>
              <a:noFill/>
            </a:ln>
            <a:effectLst/>
          </c:spPr>
        </c:marker>
      </c:pivotFmt>
      <c:pivotFmt>
        <c:idx val="8"/>
        <c:spPr>
          <a:ln w="31750" cap="rnd">
            <a:solidFill>
              <a:schemeClr val="accent1"/>
            </a:solidFill>
            <a:round/>
          </a:ln>
          <a:effectLst/>
        </c:spPr>
        <c:marker>
          <c:symbol val="circle"/>
          <c:size val="17"/>
          <c:spPr>
            <a:solidFill>
              <a:schemeClr val="accent1"/>
            </a:solidFill>
            <a:ln>
              <a:noFill/>
            </a:ln>
            <a:effectLst/>
          </c:spPr>
        </c:marker>
      </c:pivotFmt>
      <c:pivotFmt>
        <c:idx val="9"/>
        <c:spPr>
          <a:ln w="31750" cap="rnd">
            <a:solidFill>
              <a:schemeClr val="accent1"/>
            </a:solidFill>
            <a:round/>
          </a:ln>
          <a:effectLst/>
        </c:spPr>
        <c:marker>
          <c:symbol val="circle"/>
          <c:size val="17"/>
          <c:spPr>
            <a:solidFill>
              <a:schemeClr val="accent1"/>
            </a:solidFill>
            <a:ln>
              <a:noFill/>
            </a:ln>
            <a:effectLst/>
          </c:spPr>
        </c:marker>
      </c:pivotFmt>
    </c:pivotFmts>
    <c:plotArea>
      <c:layout/>
      <c:lineChart>
        <c:grouping val="standard"/>
        <c:varyColors val="0"/>
        <c:ser>
          <c:idx val="0"/>
          <c:order val="0"/>
          <c:tx>
            <c:strRef>
              <c:f>'Commute Time'!$B$3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Pt>
            <c:idx val="0"/>
            <c:marker>
              <c:symbol val="circle"/>
              <c:size val="17"/>
              <c:spPr>
                <a:solidFill>
                  <a:schemeClr val="accent1"/>
                </a:solidFill>
                <a:ln>
                  <a:noFill/>
                </a:ln>
                <a:effectLst/>
              </c:spPr>
            </c:marker>
            <c:bubble3D val="0"/>
            <c:extLst>
              <c:ext xmlns:c16="http://schemas.microsoft.com/office/drawing/2014/chart" uri="{C3380CC4-5D6E-409C-BE32-E72D297353CC}">
                <c16:uniqueId val="{00000001-B716-4D1D-B94A-1BAE3451B6D2}"/>
              </c:ext>
            </c:extLst>
          </c:dPt>
          <c:dPt>
            <c:idx val="1"/>
            <c:marker>
              <c:symbol val="circle"/>
              <c:size val="17"/>
              <c:spPr>
                <a:solidFill>
                  <a:schemeClr val="accent1"/>
                </a:solidFill>
                <a:ln>
                  <a:noFill/>
                </a:ln>
                <a:effectLst/>
              </c:spPr>
            </c:marker>
            <c:bubble3D val="0"/>
            <c:extLst>
              <c:ext xmlns:c16="http://schemas.microsoft.com/office/drawing/2014/chart" uri="{C3380CC4-5D6E-409C-BE32-E72D297353CC}">
                <c16:uniqueId val="{00000002-B716-4D1D-B94A-1BAE3451B6D2}"/>
              </c:ext>
            </c:extLst>
          </c:dPt>
          <c:dPt>
            <c:idx val="2"/>
            <c:marker>
              <c:symbol val="circle"/>
              <c:size val="17"/>
              <c:spPr>
                <a:solidFill>
                  <a:schemeClr val="accent1"/>
                </a:solidFill>
                <a:ln>
                  <a:noFill/>
                </a:ln>
                <a:effectLst/>
              </c:spPr>
            </c:marker>
            <c:bubble3D val="0"/>
            <c:extLst>
              <c:ext xmlns:c16="http://schemas.microsoft.com/office/drawing/2014/chart" uri="{C3380CC4-5D6E-409C-BE32-E72D297353CC}">
                <c16:uniqueId val="{00000002-6A94-5047-9E99-79BC748ADF2A}"/>
              </c:ext>
            </c:extLst>
          </c:dPt>
          <c:dPt>
            <c:idx val="3"/>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4-6A94-5047-9E99-79BC748ADF2A}"/>
              </c:ext>
            </c:extLst>
          </c:dPt>
          <c:dPt>
            <c:idx val="4"/>
            <c:marker>
              <c:symbol val="circle"/>
              <c:size val="17"/>
              <c:spPr>
                <a:solidFill>
                  <a:schemeClr val="accent1"/>
                </a:solidFill>
                <a:ln>
                  <a:noFill/>
                </a:ln>
                <a:effectLst/>
              </c:spPr>
            </c:marker>
            <c:bubble3D val="0"/>
            <c:extLst>
              <c:ext xmlns:c16="http://schemas.microsoft.com/office/drawing/2014/chart" uri="{C3380CC4-5D6E-409C-BE32-E72D297353CC}">
                <c16:uniqueId val="{00000004-6550-48C7-B9E4-C360270A1760}"/>
              </c:ext>
            </c:extLst>
          </c:dPt>
          <c:dPt>
            <c:idx val="5"/>
            <c:marker>
              <c:symbol val="circle"/>
              <c:size val="17"/>
              <c:spPr>
                <a:solidFill>
                  <a:schemeClr val="accent1"/>
                </a:solidFill>
                <a:ln>
                  <a:noFill/>
                </a:ln>
                <a:effectLst/>
              </c:spPr>
            </c:marker>
            <c:bubble3D val="0"/>
            <c:extLst>
              <c:ext xmlns:c16="http://schemas.microsoft.com/office/drawing/2014/chart" uri="{C3380CC4-5D6E-409C-BE32-E72D297353CC}">
                <c16:uniqueId val="{00000003-91FF-4482-93B0-2ED5FBB7AD08}"/>
              </c:ext>
            </c:extLst>
          </c:dPt>
          <c:dLbls>
            <c:dLbl>
              <c:idx val="3"/>
              <c:spPr>
                <a:noFill/>
                <a:ln>
                  <a:noFill/>
                </a:ln>
                <a:effectLst/>
              </c:spPr>
              <c:txPr>
                <a:bodyPr rot="0" spcFirstLastPara="1" vertOverflow="ellipsis" vert="horz" wrap="square" lIns="38100" tIns="19050" rIns="38100" bIns="19050" anchor="ctr" anchorCtr="1">
                  <a:no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16047352844459E-2"/>
                      <c:h val="0.12672663026019917"/>
                    </c:manualLayout>
                  </c15:layout>
                </c:ext>
                <c:ext xmlns:c16="http://schemas.microsoft.com/office/drawing/2014/chart" uri="{C3380CC4-5D6E-409C-BE32-E72D297353CC}">
                  <c16:uniqueId val="{00000004-6A94-5047-9E99-79BC748ADF2A}"/>
                </c:ext>
              </c:extLst>
            </c:dLbl>
            <c:spPr>
              <a:noFill/>
              <a:ln>
                <a:noFill/>
              </a:ln>
              <a:effectLst/>
            </c:spPr>
            <c:txPr>
              <a:bodyPr rot="0" spcFirstLastPara="1" vertOverflow="ellipsis" vert="horz" wrap="square" lIns="38100" tIns="19050" rIns="38100" bIns="19050" anchor="ctr" anchorCtr="1">
                <a:spAutoFit/>
              </a:bodyPr>
              <a:lstStyle/>
              <a:p>
                <a:pPr>
                  <a:defRPr lang="en-US" sz="1800" b="1" i="0" u="none" strike="noStrike" kern="1200" baseline="0">
                    <a:solidFill>
                      <a:schemeClr val="tx1"/>
                    </a:solidFill>
                    <a:latin typeface="Arial Black" panose="020B0A040201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'Commute Time'!$A$4:$A$12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'Commute Time'!$B$4:$B$12</c:f>
              <c:numCache>
                <c:formatCode>0</c:formatCode>
                <c:ptCount val="8"/>
                <c:pt idx="0">
                  <c:v>23.157142857142855</c:v>
                </c:pt>
                <c:pt idx="1">
                  <c:v>25.517647058823528</c:v>
                </c:pt>
                <c:pt idx="2">
                  <c:v>23.662500000000001</c:v>
                </c:pt>
                <c:pt idx="3">
                  <c:v>25.974999999999998</c:v>
                </c:pt>
                <c:pt idx="4">
                  <c:v>23.333333333333336</c:v>
                </c:pt>
                <c:pt idx="5">
                  <c:v>23.141666666666666</c:v>
                </c:pt>
                <c:pt idx="6">
                  <c:v>21.789473684210531</c:v>
                </c:pt>
                <c:pt idx="7">
                  <c:v>23.470000000000006</c:v>
                </c:pt>
              </c:numCache>
            </c:numRef>
          </c:val>
          <c:smooth val="0"/>
          <c:extLst>
            <c:ext xmlns:c16="http://schemas.microsoft.com/office/drawing/2014/chart" uri="{C3380CC4-5D6E-409C-BE32-E72D297353CC}">
              <c16:uniqueId val="{00000000-B716-4D1D-B94A-1BAE3451B6D2}"/>
            </c:ext>
          </c:extLst>
        </c:ser>
        <c:dLbls>
          <c:dLblPos val="ctr"/>
          <c:showLegendKey val="0"/>
          <c:showVal val="1"/>
          <c:showCatName val="0"/>
          <c:showSerName val="0"/>
          <c:showPercent val="0"/>
          <c:showBubbleSize val="0"/>
        </c:dLbls>
        <c:marker val="1"/>
        <c:smooth val="0"/>
        <c:axId val="767363712"/>
        <c:axId val="177177184"/>
      </c:lineChart>
      <c:catAx>
        <c:axId val="7673637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lang="en-US" sz="1600" b="1" i="0" u="none" strike="noStrike" kern="1200" cap="all" baseline="0">
                <a:solidFill>
                  <a:schemeClr val="tx1"/>
                </a:solidFill>
                <a:latin typeface="+mn-lt"/>
                <a:ea typeface="+mn-ea"/>
                <a:cs typeface="+mn-cs"/>
              </a:defRPr>
            </a:pPr>
            <a:endParaRPr lang="en-US"/>
          </a:p>
        </c:txPr>
        <c:crossAx val="177177184"/>
        <c:crosses val="autoZero"/>
        <c:auto val="1"/>
        <c:lblAlgn val="ctr"/>
        <c:lblOffset val="100"/>
        <c:noMultiLvlLbl val="0"/>
      </c:catAx>
      <c:valAx>
        <c:axId val="177177184"/>
        <c:scaling>
          <c:orientation val="minMax"/>
        </c:scaling>
        <c:delete val="1"/>
        <c:axPos val="l"/>
        <c:numFmt formatCode="0" sourceLinked="1"/>
        <c:majorTickMark val="none"/>
        <c:minorTickMark val="none"/>
        <c:tickLblPos val="nextTo"/>
        <c:crossAx val="767363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lgn="ctr">
        <a:defRPr lang="en-US" sz="900" b="1" i="0" u="none" strike="noStrike" kern="1200" baseline="0">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2 #Dashboard.xlsm]Transit Score!PivotTable2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Unemployment</a:t>
            </a:r>
            <a:r>
              <a:rPr lang="en-US" baseline="0"/>
              <a:t> Rate By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'Transit Score'!$B$3</c:f>
              <c:strCache>
                <c:ptCount val="1"/>
                <c:pt idx="0">
                  <c:v>Total</c:v>
                </c:pt>
              </c:strCache>
            </c:strRef>
          </c:tx>
          <c:spPr>
            <a:solidFill>
              <a:schemeClr val="accent1"/>
            </a:solidFill>
            <a:ln>
              <a:noFill/>
            </a:ln>
            <a:effectLst/>
          </c:spPr>
          <c:invertIfNegative val="0"/>
          <c:cat>
            <c:strRef>
              <c:f>'Transit Score'!$A$4:$A$12</c:f>
              <c:strCache>
                <c:ptCount val="8"/>
                <c:pt idx="0">
                  <c:v>Colorado</c:v>
                </c:pt>
                <c:pt idx="1">
                  <c:v>Florida</c:v>
                </c:pt>
                <c:pt idx="2">
                  <c:v>Georgia</c:v>
                </c:pt>
                <c:pt idx="3">
                  <c:v>Massachusetts</c:v>
                </c:pt>
                <c:pt idx="4">
                  <c:v>New York</c:v>
                </c:pt>
                <c:pt idx="5">
                  <c:v>North Carolina</c:v>
                </c:pt>
                <c:pt idx="6">
                  <c:v>Texas</c:v>
                </c:pt>
                <c:pt idx="7">
                  <c:v>Washington</c:v>
                </c:pt>
              </c:strCache>
            </c:strRef>
          </c:cat>
          <c:val>
            <c:numRef>
              <c:f>'Transit Score'!$B$4:$B$12</c:f>
              <c:numCache>
                <c:formatCode>0</c:formatCode>
                <c:ptCount val="8"/>
                <c:pt idx="0">
                  <c:v>105.51428571428572</c:v>
                </c:pt>
                <c:pt idx="1">
                  <c:v>100.3</c:v>
                </c:pt>
                <c:pt idx="2">
                  <c:v>92.424999999999997</c:v>
                </c:pt>
                <c:pt idx="3">
                  <c:v>114.675</c:v>
                </c:pt>
                <c:pt idx="4">
                  <c:v>100.87</c:v>
                </c:pt>
                <c:pt idx="5">
                  <c:v>93.566666666666663</c:v>
                </c:pt>
                <c:pt idx="6">
                  <c:v>91.191999999999993</c:v>
                </c:pt>
                <c:pt idx="7">
                  <c:v>107.17272727272729</c:v>
                </c:pt>
              </c:numCache>
            </c:numRef>
          </c:val>
          <c:extLst>
            <c:ext xmlns:c16="http://schemas.microsoft.com/office/drawing/2014/chart" uri="{C3380CC4-5D6E-409C-BE32-E72D297353CC}">
              <c16:uniqueId val="{00000001-3A84-469C-833B-CFB67B999301}"/>
            </c:ext>
          </c:extLst>
        </c:ser>
        <c:dLbls>
          <c:showLegendKey val="0"/>
          <c:showVal val="0"/>
          <c:showCatName val="0"/>
          <c:showSerName val="0"/>
          <c:showPercent val="0"/>
          <c:showBubbleSize val="0"/>
        </c:dLbls>
        <c:gapWidth val="219"/>
        <c:axId val="1611428703"/>
        <c:axId val="1611420063"/>
      </c:barChart>
      <c:catAx>
        <c:axId val="1611428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420063"/>
        <c:crosses val="autoZero"/>
        <c:auto val="1"/>
        <c:lblAlgn val="ctr"/>
        <c:lblOffset val="100"/>
        <c:noMultiLvlLbl val="0"/>
      </c:catAx>
      <c:valAx>
        <c:axId val="161142006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428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iagrams/_rels/data1.xml.rels><?xml version="1.0" encoding="UTF-8" standalone="yes"?>
<Relationships xmlns="http://schemas.openxmlformats.org/package/2006/relationships"><Relationship Id="rId1" Type="http://schemas.openxmlformats.org/officeDocument/2006/relationships/image" Target="../media/image2.jpeg"/></Relationships>
</file>

<file path=xl/diagrams/_rels/drawing1.xml.rels><?xml version="1.0" encoding="UTF-8" standalone="yes"?>
<Relationships xmlns="http://schemas.openxmlformats.org/package/2006/relationships"><Relationship Id="rId1" Type="http://schemas.openxmlformats.org/officeDocument/2006/relationships/image" Target="../media/image2.jpe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9627BF4-3191-4B35-9E20-7159819A1E6C}" type="doc">
      <dgm:prSet loTypeId="urn:microsoft.com/office/officeart/2009/3/layout/SnapshotPictureList" loCatId="picture" qsTypeId="urn:microsoft.com/office/officeart/2005/8/quickstyle/simple1" qsCatId="simple" csTypeId="urn:microsoft.com/office/officeart/2005/8/colors/accent1_2" csCatId="accent1" phldr="1"/>
      <dgm:spPr/>
      <dgm:t>
        <a:bodyPr/>
        <a:lstStyle/>
        <a:p>
          <a:endParaRPr lang="en-IN"/>
        </a:p>
      </dgm:t>
    </dgm:pt>
    <dgm:pt modelId="{CFF76AB5-4D75-41D5-902E-ED5692A39A53}">
      <dgm:prSet phldrT="[Text]" custT="1"/>
      <dgm:spPr/>
      <dgm:t>
        <a:bodyPr/>
        <a:lstStyle/>
        <a:p>
          <a:r>
            <a:rPr lang="en-IN" sz="4000">
              <a:solidFill>
                <a:srgbClr val="002060"/>
              </a:solidFill>
            </a:rPr>
            <a:t>BEST PLACES TO LIVE IN</a:t>
          </a:r>
        </a:p>
      </dgm:t>
    </dgm:pt>
    <dgm:pt modelId="{C216FE74-BC77-4559-81C0-9E85CF126DA9}" type="parTrans" cxnId="{A44BC447-C42A-4D04-B0AE-1754CDD121D7}">
      <dgm:prSet/>
      <dgm:spPr/>
      <dgm:t>
        <a:bodyPr/>
        <a:lstStyle/>
        <a:p>
          <a:endParaRPr lang="en-IN"/>
        </a:p>
      </dgm:t>
    </dgm:pt>
    <dgm:pt modelId="{973F1C6C-6CFF-4FD2-B0C5-5C1F5F50C6FA}" type="sibTrans" cxnId="{A44BC447-C42A-4D04-B0AE-1754CDD121D7}">
      <dgm:prSet/>
      <dgm:spPr/>
      <dgm:t>
        <a:bodyPr/>
        <a:lstStyle/>
        <a:p>
          <a:endParaRPr lang="en-IN"/>
        </a:p>
      </dgm:t>
    </dgm:pt>
    <dgm:pt modelId="{6A34C9B6-1A33-48DB-AE3E-963966B3F9B4}">
      <dgm:prSet phldrT="[Text]" phldr="1"/>
      <dgm:spPr/>
      <dgm:t>
        <a:bodyPr/>
        <a:lstStyle/>
        <a:p>
          <a:endParaRPr lang="en-IN"/>
        </a:p>
      </dgm:t>
    </dgm:pt>
    <dgm:pt modelId="{F94E73BF-E3DB-4C23-B76C-95CDE119C8E4}" type="sibTrans" cxnId="{EB419724-9C84-4FA1-BC64-33314ADDCF3B}">
      <dgm:prSet/>
      <dgm:spPr/>
      <dgm:t>
        <a:bodyPr/>
        <a:lstStyle/>
        <a:p>
          <a:endParaRPr lang="en-IN"/>
        </a:p>
      </dgm:t>
    </dgm:pt>
    <dgm:pt modelId="{4A125F53-C68D-4FA8-B3C2-F4329100365E}" type="parTrans" cxnId="{EB419724-9C84-4FA1-BC64-33314ADDCF3B}">
      <dgm:prSet/>
      <dgm:spPr/>
      <dgm:t>
        <a:bodyPr/>
        <a:lstStyle/>
        <a:p>
          <a:endParaRPr lang="en-IN"/>
        </a:p>
      </dgm:t>
    </dgm:pt>
    <dgm:pt modelId="{5B3A2EE2-99B4-49AE-B621-9B8696748239}" type="pres">
      <dgm:prSet presAssocID="{59627BF4-3191-4B35-9E20-7159819A1E6C}" presName="Name0" presStyleCnt="0">
        <dgm:presLayoutVars>
          <dgm:chMax/>
          <dgm:chPref/>
          <dgm:dir/>
          <dgm:animLvl val="lvl"/>
        </dgm:presLayoutVars>
      </dgm:prSet>
      <dgm:spPr/>
    </dgm:pt>
    <dgm:pt modelId="{BDAD5E67-456D-4982-B48D-145792033873}" type="pres">
      <dgm:prSet presAssocID="{6A34C9B6-1A33-48DB-AE3E-963966B3F9B4}" presName="composite" presStyleCnt="0"/>
      <dgm:spPr/>
    </dgm:pt>
    <dgm:pt modelId="{998020A6-2AB7-4443-8F36-17EC8614751B}" type="pres">
      <dgm:prSet presAssocID="{6A34C9B6-1A33-48DB-AE3E-963966B3F9B4}" presName="ParentAccentShape" presStyleLbl="trBgShp" presStyleIdx="0" presStyleCnt="2" custScaleX="116736" custScaleY="108723" custLinFactNeighborX="-15498" custLinFactNeighborY="-200"/>
      <dgm:spPr/>
    </dgm:pt>
    <dgm:pt modelId="{160C59F7-C5B8-4576-BDC3-A538E8CB0501}" type="pres">
      <dgm:prSet presAssocID="{6A34C9B6-1A33-48DB-AE3E-963966B3F9B4}" presName="ParentText" presStyleLbl="revTx" presStyleIdx="0" presStyleCnt="2" custFlipHor="1" custScaleX="2856" custScaleY="12904" custLinFactY="-119114" custLinFactNeighborX="-34333" custLinFactNeighborY="-200000">
        <dgm:presLayoutVars>
          <dgm:chMax val="1"/>
          <dgm:chPref val="1"/>
          <dgm:bulletEnabled val="1"/>
        </dgm:presLayoutVars>
      </dgm:prSet>
      <dgm:spPr/>
    </dgm:pt>
    <dgm:pt modelId="{8C8E0C47-2524-4F8D-B929-4D74B8C6CA79}" type="pres">
      <dgm:prSet presAssocID="{6A34C9B6-1A33-48DB-AE3E-963966B3F9B4}" presName="ChildText" presStyleLbl="revTx" presStyleIdx="1" presStyleCnt="2" custScaleX="241719" custScaleY="26285" custLinFactNeighborX="68569" custLinFactNeighborY="-32686">
        <dgm:presLayoutVars>
          <dgm:chMax val="0"/>
          <dgm:chPref val="0"/>
        </dgm:presLayoutVars>
      </dgm:prSet>
      <dgm:spPr/>
    </dgm:pt>
    <dgm:pt modelId="{E0F7555B-3FB1-4A9A-A589-5F62985732E8}" type="pres">
      <dgm:prSet presAssocID="{6A34C9B6-1A33-48DB-AE3E-963966B3F9B4}" presName="ChildAccentShape" presStyleLbl="trBgShp" presStyleIdx="1" presStyleCnt="2" custAng="0" custLinFactX="-800000" custLinFactNeighborX="-894492" custLinFactNeighborY="199"/>
      <dgm:spPr/>
    </dgm:pt>
    <dgm:pt modelId="{8F87EB6D-C961-4A55-A52A-83C829CA7EA3}" type="pres">
      <dgm:prSet presAssocID="{6A34C9B6-1A33-48DB-AE3E-963966B3F9B4}" presName="Image" presStyleLbl="alignImgPlace1" presStyleIdx="0" presStyleCnt="1" custScaleX="135446" custScaleY="125639" custLinFactNeighborX="-16586" custLinFactNeighborY="9990"/>
      <dgm:spPr>
        <a:blipFill>
          <a:blip xmlns:r="http://schemas.openxmlformats.org/officeDocument/2006/relationships" r:embed="rId1" cstate="print">
            <a:extLst>
              <a:ext uri="{28A0092B-C50C-407E-A947-70E740481C1C}">
                <a14:useLocalDpi xmlns:a14="http://schemas.microsoft.com/office/drawing/2010/main" val="0"/>
              </a:ext>
            </a:extLst>
          </a:blip>
          <a:srcRect/>
          <a:stretch>
            <a:fillRect l="-3000" r="-3000"/>
          </a:stretch>
        </a:blipFill>
      </dgm:spPr>
    </dgm:pt>
  </dgm:ptLst>
  <dgm:cxnLst>
    <dgm:cxn modelId="{EB419724-9C84-4FA1-BC64-33314ADDCF3B}" srcId="{59627BF4-3191-4B35-9E20-7159819A1E6C}" destId="{6A34C9B6-1A33-48DB-AE3E-963966B3F9B4}" srcOrd="0" destOrd="0" parTransId="{4A125F53-C68D-4FA8-B3C2-F4329100365E}" sibTransId="{F94E73BF-E3DB-4C23-B76C-95CDE119C8E4}"/>
    <dgm:cxn modelId="{A44BC447-C42A-4D04-B0AE-1754CDD121D7}" srcId="{6A34C9B6-1A33-48DB-AE3E-963966B3F9B4}" destId="{CFF76AB5-4D75-41D5-902E-ED5692A39A53}" srcOrd="0" destOrd="0" parTransId="{C216FE74-BC77-4559-81C0-9E85CF126DA9}" sibTransId="{973F1C6C-6CFF-4FD2-B0C5-5C1F5F50C6FA}"/>
    <dgm:cxn modelId="{6337F390-E7CC-49F9-B163-93B741660D37}" type="presOf" srcId="{6A34C9B6-1A33-48DB-AE3E-963966B3F9B4}" destId="{160C59F7-C5B8-4576-BDC3-A538E8CB0501}" srcOrd="0" destOrd="0" presId="urn:microsoft.com/office/officeart/2009/3/layout/SnapshotPictureList"/>
    <dgm:cxn modelId="{4842C5A9-E2AA-4410-A5F1-BE55C2933885}" type="presOf" srcId="{59627BF4-3191-4B35-9E20-7159819A1E6C}" destId="{5B3A2EE2-99B4-49AE-B621-9B8696748239}" srcOrd="0" destOrd="0" presId="urn:microsoft.com/office/officeart/2009/3/layout/SnapshotPictureList"/>
    <dgm:cxn modelId="{413CF1AE-DB68-4B2B-AF6D-6A6A61B688FA}" type="presOf" srcId="{CFF76AB5-4D75-41D5-902E-ED5692A39A53}" destId="{8C8E0C47-2524-4F8D-B929-4D74B8C6CA79}" srcOrd="0" destOrd="0" presId="urn:microsoft.com/office/officeart/2009/3/layout/SnapshotPictureList"/>
    <dgm:cxn modelId="{5CFD85D1-B870-483C-ACCE-3F6ED595DB24}" type="presParOf" srcId="{5B3A2EE2-99B4-49AE-B621-9B8696748239}" destId="{BDAD5E67-456D-4982-B48D-145792033873}" srcOrd="0" destOrd="0" presId="urn:microsoft.com/office/officeart/2009/3/layout/SnapshotPictureList"/>
    <dgm:cxn modelId="{F5026CBB-2CE1-40B6-9949-9FDFCA0CFCFD}" type="presParOf" srcId="{BDAD5E67-456D-4982-B48D-145792033873}" destId="{998020A6-2AB7-4443-8F36-17EC8614751B}" srcOrd="0" destOrd="0" presId="urn:microsoft.com/office/officeart/2009/3/layout/SnapshotPictureList"/>
    <dgm:cxn modelId="{C6AC713E-8A39-460D-A3AF-5A4076266533}" type="presParOf" srcId="{BDAD5E67-456D-4982-B48D-145792033873}" destId="{160C59F7-C5B8-4576-BDC3-A538E8CB0501}" srcOrd="1" destOrd="0" presId="urn:microsoft.com/office/officeart/2009/3/layout/SnapshotPictureList"/>
    <dgm:cxn modelId="{BA12FFB8-FD44-4222-A01E-4D49141D3CF4}" type="presParOf" srcId="{BDAD5E67-456D-4982-B48D-145792033873}" destId="{8C8E0C47-2524-4F8D-B929-4D74B8C6CA79}" srcOrd="2" destOrd="0" presId="urn:microsoft.com/office/officeart/2009/3/layout/SnapshotPictureList"/>
    <dgm:cxn modelId="{5A18BA19-9583-4F61-A1B1-E550E6755594}" type="presParOf" srcId="{BDAD5E67-456D-4982-B48D-145792033873}" destId="{E0F7555B-3FB1-4A9A-A589-5F62985732E8}" srcOrd="3" destOrd="0" presId="urn:microsoft.com/office/officeart/2009/3/layout/SnapshotPictureList"/>
    <dgm:cxn modelId="{1BD5E45B-D420-4FD2-A398-DFB262AAC05A}" type="presParOf" srcId="{BDAD5E67-456D-4982-B48D-145792033873}" destId="{8F87EB6D-C961-4A55-A52A-83C829CA7EA3}" srcOrd="4" destOrd="0" presId="urn:microsoft.com/office/officeart/2009/3/layout/SnapshotPictureList"/>
  </dgm:cxnLst>
  <dgm:bg>
    <a:solidFill>
      <a:schemeClr val="bg1"/>
    </a:solidFill>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0F7555B-3FB1-4A9A-A589-5F62985732E8}">
      <dsp:nvSpPr>
        <dsp:cNvPr id="0" name=""/>
        <dsp:cNvSpPr/>
      </dsp:nvSpPr>
      <dsp:spPr>
        <a:xfrm>
          <a:off x="9983192" y="906566"/>
          <a:ext cx="201168" cy="3723209"/>
        </a:xfrm>
        <a:prstGeom prst="rect">
          <a:avLst/>
        </a:prstGeom>
        <a:solidFill>
          <a:schemeClr val="accent1">
            <a:tint val="50000"/>
            <a:alpha val="40000"/>
            <a:hueOff val="0"/>
            <a:satOff val="0"/>
            <a:lumOff val="0"/>
            <a:alphaOff val="0"/>
          </a:schemeClr>
        </a:solidFill>
        <a:ln>
          <a:noFill/>
        </a:ln>
        <a:effectLst/>
      </dsp:spPr>
      <dsp:style>
        <a:lnRef idx="0">
          <a:scrgbClr r="0" g="0" b="0"/>
        </a:lnRef>
        <a:fillRef idx="1">
          <a:scrgbClr r="0" g="0" b="0"/>
        </a:fillRef>
        <a:effectRef idx="0">
          <a:scrgbClr r="0" g="0" b="0"/>
        </a:effectRef>
        <a:fontRef idx="minor"/>
      </dsp:style>
    </dsp:sp>
    <dsp:sp modelId="{998020A6-2AB7-4443-8F36-17EC8614751B}">
      <dsp:nvSpPr>
        <dsp:cNvPr id="0" name=""/>
        <dsp:cNvSpPr/>
      </dsp:nvSpPr>
      <dsp:spPr>
        <a:xfrm>
          <a:off x="4093156" y="729323"/>
          <a:ext cx="6107724" cy="4047984"/>
        </a:xfrm>
        <a:prstGeom prst="frame">
          <a:avLst>
            <a:gd name="adj1" fmla="val 5450"/>
          </a:avLst>
        </a:prstGeom>
        <a:solidFill>
          <a:schemeClr val="accent1">
            <a:tint val="50000"/>
            <a:alpha val="40000"/>
            <a:hueOff val="0"/>
            <a:satOff val="0"/>
            <a:lumOff val="0"/>
            <a:alphaOff val="0"/>
          </a:schemeClr>
        </a:solidFill>
        <a:ln>
          <a:noFill/>
        </a:ln>
        <a:effectLst/>
      </dsp:spPr>
      <dsp:style>
        <a:lnRef idx="0">
          <a:scrgbClr r="0" g="0" b="0"/>
        </a:lnRef>
        <a:fillRef idx="1">
          <a:scrgbClr r="0" g="0" b="0"/>
        </a:fillRef>
        <a:effectRef idx="0">
          <a:scrgbClr r="0" g="0" b="0"/>
        </a:effectRef>
        <a:fontRef idx="minor"/>
      </dsp:style>
    </dsp:sp>
    <dsp:sp modelId="{8F87EB6D-C961-4A55-A52A-83C829CA7EA3}">
      <dsp:nvSpPr>
        <dsp:cNvPr id="0" name=""/>
        <dsp:cNvSpPr/>
      </dsp:nvSpPr>
      <dsp:spPr>
        <a:xfrm>
          <a:off x="3414619" y="353389"/>
          <a:ext cx="6814172" cy="4424793"/>
        </a:xfrm>
        <a:prstGeom prst="rect">
          <a:avLst/>
        </a:prstGeom>
        <a:blipFill>
          <a:blip xmlns:r="http://schemas.openxmlformats.org/officeDocument/2006/relationships" r:embed="rId1" cstate="print">
            <a:extLst>
              <a:ext uri="{28A0092B-C50C-407E-A947-70E740481C1C}">
                <a14:useLocalDpi xmlns:a14="http://schemas.microsoft.com/office/drawing/2010/main" val="0"/>
              </a:ext>
            </a:extLst>
          </a:blip>
          <a:srcRect/>
          <a:stretch>
            <a:fillRect l="-3000" r="-3000"/>
          </a:stretch>
        </a:blipFill>
        <a:ln w="19050" cap="rnd"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sp>
    <dsp:sp modelId="{160C59F7-C5B8-4576-BDC3-A538E8CB0501}">
      <dsp:nvSpPr>
        <dsp:cNvPr id="0" name=""/>
        <dsp:cNvSpPr/>
      </dsp:nvSpPr>
      <dsp:spPr>
        <a:xfrm flipH="1">
          <a:off x="6233621" y="2758260"/>
          <a:ext cx="137840" cy="57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0800" tIns="19050" rIns="50800" bIns="19050" numCol="1" spcCol="1270" anchor="ctr" anchorCtr="0">
          <a:noAutofit/>
        </a:bodyPr>
        <a:lstStyle/>
        <a:p>
          <a:pPr marL="0" lvl="0" indent="0" algn="l" defTabSz="222250">
            <a:lnSpc>
              <a:spcPct val="90000"/>
            </a:lnSpc>
            <a:spcBef>
              <a:spcPct val="0"/>
            </a:spcBef>
            <a:spcAft>
              <a:spcPct val="35000"/>
            </a:spcAft>
            <a:buNone/>
          </a:pPr>
          <a:endParaRPr lang="en-IN" sz="500" kern="1200"/>
        </a:p>
      </dsp:txBody>
      <dsp:txXfrm>
        <a:off x="6233621" y="2758260"/>
        <a:ext cx="137840" cy="57029"/>
      </dsp:txXfrm>
    </dsp:sp>
    <dsp:sp modelId="{8C8E0C47-2524-4F8D-B929-4D74B8C6CA79}">
      <dsp:nvSpPr>
        <dsp:cNvPr id="0" name=""/>
        <dsp:cNvSpPr/>
      </dsp:nvSpPr>
      <dsp:spPr>
        <a:xfrm>
          <a:off x="10732141" y="1054471"/>
          <a:ext cx="5782041" cy="97864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0" tIns="0" rIns="0" bIns="0" numCol="1" spcCol="1270" anchor="t" anchorCtr="0">
          <a:noAutofit/>
        </a:bodyPr>
        <a:lstStyle/>
        <a:p>
          <a:pPr marL="0" lvl="0" indent="0" algn="l" defTabSz="1778000">
            <a:lnSpc>
              <a:spcPct val="90000"/>
            </a:lnSpc>
            <a:spcBef>
              <a:spcPct val="0"/>
            </a:spcBef>
            <a:spcAft>
              <a:spcPct val="35000"/>
            </a:spcAft>
            <a:buNone/>
          </a:pPr>
          <a:r>
            <a:rPr lang="en-IN" sz="4000" kern="1200">
              <a:solidFill>
                <a:srgbClr val="002060"/>
              </a:solidFill>
            </a:rPr>
            <a:t>BEST PLACES TO LIVE IN</a:t>
          </a:r>
        </a:p>
      </dsp:txBody>
      <dsp:txXfrm>
        <a:off x="10732141" y="1054471"/>
        <a:ext cx="5782041" cy="978645"/>
      </dsp:txXfrm>
    </dsp:sp>
  </dsp:spTree>
</dsp:drawing>
</file>

<file path=xl/diagrams/layout1.xml><?xml version="1.0" encoding="utf-8"?>
<dgm:layoutDef xmlns:dgm="http://schemas.openxmlformats.org/drawingml/2006/diagram" xmlns:a="http://schemas.openxmlformats.org/drawingml/2006/main" uniqueId="urn:microsoft.com/office/officeart/2009/3/layout/SnapshotPictureList">
  <dgm:title val=""/>
  <dgm:desc val=""/>
  <dgm:catLst>
    <dgm:cat type="picture" pri="3000"/>
    <dgm:cat type="pictureconvert" pri="3000"/>
  </dgm:catLst>
  <dgm:samp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sampData>
  <dgm:style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styleData>
  <dgm:clrData>
    <dgm:dataModel>
      <dgm:ptLst>
        <dgm:pt modelId="0" type="doc"/>
        <dgm:pt modelId="10">
          <dgm:prSet phldr="1"/>
        </dgm:pt>
        <dgm:pt modelId="11">
          <dgm:prSet phldr="1"/>
        </dgm:pt>
      </dgm:ptLst>
      <dgm:cxnLst>
        <dgm:cxn modelId="40" srcId="0" destId="10" srcOrd="0" destOrd="0"/>
        <dgm:cxn modelId="12" srcId="10" destId="11" srcOrd="0" destOrd="0"/>
      </dgm:cxnLst>
      <dgm:bg/>
      <dgm:whole/>
    </dgm:dataModel>
  </dgm:clrData>
  <dgm:layoutNode name="Name0">
    <dgm:varLst>
      <dgm:chMax/>
      <dgm:chPref/>
      <dgm:dir/>
      <dgm:animLvl val="lvl"/>
    </dgm:varLst>
    <dgm:alg type="snake">
      <dgm:param type="grDir" val="tL"/>
      <dgm:param type="flowDir" val="col"/>
    </dgm:alg>
    <dgm:shape xmlns:r="http://schemas.openxmlformats.org/officeDocument/2006/relationships" r:blip="">
      <dgm:adjLst/>
    </dgm:shape>
    <dgm:constrLst>
      <dgm:constr type="primFontSz" for="des" forName="ChildText" refType="primFontSz" refFor="des" refForName="ParentText" op="lte"/>
      <dgm:constr type="w" for="ch" forName="composite" refType="w"/>
      <dgm:constr type="h" for="ch" forName="composite" refType="h"/>
      <dgm:constr type="sp" refType="h" refFor="ch" refForName="composite" op="equ" fact="0.1"/>
      <dgm:constr type="h" for="ch" forName="sibTrans" refType="h" refFor="ch" refForName="composite" op="equ" fact="0.1"/>
      <dgm:constr type="w" for="ch" forName="sibTrans" refType="h" refFor="ch" refForName="sibTrans" op="equ"/>
    </dgm:constrLst>
    <dgm:forEach name="nodesForEach" axis="ch" ptType="node">
      <dgm:layoutNode name="composite">
        <dgm:alg type="composite">
          <dgm:param type="ar" val="2.0273"/>
        </dgm:alg>
        <dgm:shape xmlns:r="http://schemas.openxmlformats.org/officeDocument/2006/relationships" r:blip="">
          <dgm:adjLst/>
        </dgm:shape>
        <dgm:choose name="Name1">
          <dgm:if name="Name2" func="var" arg="dir" op="equ" val="norm">
            <dgm:constrLst>
              <dgm:constr type="l" for="ch" forName="ParentAccentShape" refType="w" fact="0.0238"/>
              <dgm:constr type="t" for="ch" forName="ParentAccentShape" refType="h" fact="0.107"/>
              <dgm:constr type="w" for="ch" forName="ParentAccentShape" refType="w" fact="0.619"/>
              <dgm:constr type="h" for="ch" forName="ParentAccentShape" refType="h" fact="0.893"/>
              <dgm:constr type="l" for="ch" forName="ParentText" refType="w" fact="0.048"/>
              <dgm:constr type="t" for="ch" forName="ParentText" refType="h" fact="0.845"/>
              <dgm:constr type="w" for="ch" forName="ParentText" refType="w" fact="0.571"/>
              <dgm:constr type="h" for="ch" forName="ParentText" refType="h" fact="0.106"/>
              <dgm:constr type="l" for="ch" forName="ChildText" refType="w" fact="0.668"/>
              <dgm:constr type="t" for="ch" forName="ChildText" refType="h" fact="0.107"/>
              <dgm:constr type="w" for="ch" forName="ChildText" refType="w" fact="0.283"/>
              <dgm:constr type="h" for="ch" forName="ChildText" refType="h" fact="0.893"/>
              <dgm:constr type="l" for="ch" forName="ChildAccentShape" refType="w" fact="0.9762"/>
              <dgm:constr type="t" for="ch" forName="ChildAccentShape" refType="h" fact="0.107"/>
              <dgm:constr type="w" for="ch" forName="ChildAccentShape" refType="w" fact="0.0238"/>
              <dgm:constr type="h" for="ch" forName="ChildAccentShape" refType="h" fact="0.893"/>
              <dgm:constr type="l" for="ch" forName="Image" refType="w" fact="0"/>
              <dgm:constr type="t" for="ch" forName="Image" refType="h" fact="0"/>
              <dgm:constr type="w" for="ch" forName="Image" refType="w" fact="0.5952"/>
              <dgm:constr type="h" for="ch" forName="Image" refType="h" fact="0.8447"/>
            </dgm:constrLst>
          </dgm:if>
          <dgm:else name="Name3">
            <dgm:constrLst>
              <dgm:constr type="l" for="ch" forName="ParentAccentShape" refType="w" fact="0.3572"/>
              <dgm:constr type="t" for="ch" forName="ParentAccentShape" refType="h" fact="0.107"/>
              <dgm:constr type="w" for="ch" forName="ParentAccentShape" refType="w" fact="0.619"/>
              <dgm:constr type="h" for="ch" forName="ParentAccentShape" refType="h" fact="0.893"/>
              <dgm:constr type="l" for="ch" forName="ParentText" refType="w" fact="0.381"/>
              <dgm:constr type="t" for="ch" forName="ParentText" refType="h" fact="0.845"/>
              <dgm:constr type="w" for="ch" forName="ParentText" refType="w" fact="0.571"/>
              <dgm:constr type="h" for="ch" forName="ParentText" refType="h" fact="0.106"/>
              <dgm:constr type="l" for="ch" forName="ChildText" refType="w" fact="0.049"/>
              <dgm:constr type="t" for="ch" forName="ChildText" refType="h" fact="0.107"/>
              <dgm:constr type="w" for="ch" forName="ChildText" refType="w" fact="0.283"/>
              <dgm:constr type="h" for="ch" forName="ChildText" refType="h" fact="0.893"/>
              <dgm:constr type="l" for="ch" forName="ChildAccentShape" refType="w" fact="0"/>
              <dgm:constr type="t" for="ch" forName="ChildAccentShape" refType="h" fact="0.107"/>
              <dgm:constr type="w" for="ch" forName="ChildAccentShape" refType="w" fact="0.0238"/>
              <dgm:constr type="h" for="ch" forName="ChildAccentShape" refType="h" fact="0.893"/>
              <dgm:constr type="l" for="ch" forName="Image" refType="w" fact="0.4048"/>
              <dgm:constr type="t" for="ch" forName="Image" refType="h" fact="0"/>
              <dgm:constr type="w" for="ch" forName="Image" refType="w" fact="0.5952"/>
              <dgm:constr type="h" for="ch" forName="Image" refType="h" fact="0.8447"/>
            </dgm:constrLst>
          </dgm:else>
        </dgm:choose>
        <dgm:layoutNode name="ParentAccentShape" styleLbl="trBgShp">
          <dgm:alg type="sp"/>
          <dgm:shape xmlns:r="http://schemas.openxmlformats.org/officeDocument/2006/relationships" type="frame" r:blip="" zOrderOff="-10">
            <dgm:adjLst>
              <dgm:adj idx="1" val="0.0545"/>
            </dgm:adjLst>
          </dgm:shape>
          <dgm:presOf/>
        </dgm:layoutNode>
        <dgm:layoutNode name="ParentText" styleLbl="revTx">
          <dgm:varLst>
            <dgm:chMax val="1"/>
            <dgm:chPref val="1"/>
            <dgm:bulletEnabled val="1"/>
          </dgm:varLst>
          <dgm:alg type="tx">
            <dgm:param type="parTxLTRAlign" val="l"/>
          </dgm:alg>
          <dgm:shape xmlns:r="http://schemas.openxmlformats.org/officeDocument/2006/relationships" type="rect" r:blip="" zOrderOff="10">
            <dgm:adjLst/>
          </dgm:shape>
          <dgm:presOf axis="self" ptType="node"/>
          <dgm:constrLst>
            <dgm:constr type="lMarg" refType="primFontSz" fact="0.8"/>
            <dgm:constr type="rMarg" refType="primFontSz" fact="0.8"/>
            <dgm:constr type="tMarg" refType="primFontSz" fact="0.3"/>
            <dgm:constr type="bMarg" refType="primFontSz" fact="0.3"/>
          </dgm:constrLst>
          <dgm:ruleLst>
            <dgm:rule type="primFontSz" val="5" fact="NaN" max="NaN"/>
          </dgm:ruleLst>
        </dgm:layoutNode>
        <dgm:layoutNode name="ChildText" styleLbl="revTx">
          <dgm:varLst>
            <dgm:chMax val="0"/>
            <dgm:chPref val="0"/>
          </dgm:varLst>
          <dgm:alg type="tx">
            <dgm:param type="parTxLTRAlign" val="l"/>
            <dgm:param type="txAnchorVert" val="t"/>
          </dgm:alg>
          <dgm:shape xmlns:r="http://schemas.openxmlformats.org/officeDocument/2006/relationships" type="rect" r:blip="" zOrderOff="10">
            <dgm:adjLst/>
          </dgm:shape>
          <dgm:choose name="Name4">
            <dgm:if name="Name5" axis="ch" ptType="node" func="cnt" op="gte" val="1">
              <dgm:presOf axis="des" ptType="node"/>
            </dgm:if>
            <dgm:else name="Name6">
              <dgm:presOf/>
            </dgm:else>
          </dgm:choose>
          <dgm:constrLst>
            <dgm:constr type="lMarg" refType="primFontSz" fact="0"/>
            <dgm:constr type="rMarg" refType="primFontSz" fact="0"/>
            <dgm:constr type="tMarg" refType="primFontSz" fact="0"/>
            <dgm:constr type="bMarg" refType="primFontSz" fact="0"/>
          </dgm:constrLst>
          <dgm:ruleLst>
            <dgm:rule type="primFontSz" val="5" fact="NaN" max="NaN"/>
          </dgm:ruleLst>
        </dgm:layoutNode>
        <dgm:layoutNode name="ChildAccentShape" styleLbl="trBgShp">
          <dgm:alg type="sp"/>
          <dgm:choose name="Name7">
            <dgm:if name="Name8" axis="ch" ptType="node" func="cnt" op="gte" val="1">
              <dgm:shape xmlns:r="http://schemas.openxmlformats.org/officeDocument/2006/relationships" type="rect" r:blip="" zOrderOff="-10">
                <dgm:adjLst/>
              </dgm:shape>
            </dgm:if>
            <dgm:else name="Name9">
              <dgm:shape xmlns:r="http://schemas.openxmlformats.org/officeDocument/2006/relationships" type="rect" r:blip="" hideGeom="1">
                <dgm:adjLst/>
              </dgm:shape>
            </dgm:else>
          </dgm:choose>
          <dgm:presOf/>
        </dgm:layoutNode>
        <dgm:layoutNode name="Image" styleLbl="alignImgPlace1">
          <dgm:alg type="sp"/>
          <dgm:shape xmlns:r="http://schemas.openxmlformats.org/officeDocument/2006/relationships" type="rect" r:blip="" blipPhldr="1">
            <dgm:adjLst/>
          </dgm:shape>
          <dgm:presOf/>
        </dgm:layoutNod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3" Type="http://schemas.openxmlformats.org/officeDocument/2006/relationships/chart" Target="../charts/chart3.xml"/><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sv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svg"/><Relationship Id="rId4" Type="http://schemas.openxmlformats.org/officeDocument/2006/relationships/chart" Target="../charts/chart4.xml"/><Relationship Id="rId9" Type="http://schemas.openxmlformats.org/officeDocument/2006/relationships/image" Target="../media/image8.png"/><Relationship Id="rId14" Type="http://schemas.openxmlformats.org/officeDocument/2006/relationships/image" Target="../media/image13.svg"/></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6</xdr:col>
      <xdr:colOff>495300</xdr:colOff>
      <xdr:row>12</xdr:row>
      <xdr:rowOff>72205</xdr:rowOff>
    </xdr:from>
    <xdr:ext cx="4937760" cy="937757"/>
    <xdr:sp macro="" textlink="">
      <xdr:nvSpPr>
        <xdr:cNvPr id="2" name="Rectangle 1">
          <a:extLst>
            <a:ext uri="{FF2B5EF4-FFF2-40B4-BE49-F238E27FC236}">
              <a16:creationId xmlns:a16="http://schemas.microsoft.com/office/drawing/2014/main" id="{00000000-0008-0000-0000-000002000000}"/>
            </a:ext>
          </a:extLst>
        </xdr:cNvPr>
        <xdr:cNvSpPr/>
      </xdr:nvSpPr>
      <xdr:spPr>
        <a:xfrm>
          <a:off x="4152900" y="2266765"/>
          <a:ext cx="4937760" cy="937757"/>
        </a:xfrm>
        <a:prstGeom prst="rect">
          <a:avLst/>
        </a:prstGeom>
        <a:noFill/>
      </xdr:spPr>
      <xdr:txBody>
        <a:bodyPr wrap="square" lIns="91440" tIns="45720" rIns="91440" bIns="45720">
          <a:sp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Himaja K R</a:t>
          </a:r>
        </a:p>
        <a:p>
          <a:pPr algn="ctr"/>
          <a:r>
            <a:rPr lang="en-US" sz="1800" b="0" cap="none" spc="0">
              <a:ln w="0"/>
              <a:solidFill>
                <a:schemeClr val="tx1"/>
              </a:solidFill>
              <a:effectLst>
                <a:outerShdw blurRad="38100" dist="19050" dir="2700000" algn="tl" rotWithShape="0">
                  <a:schemeClr val="dk1">
                    <a:alpha val="40000"/>
                  </a:schemeClr>
                </a:outerShdw>
              </a:effectLst>
            </a:rPr>
            <a:t>Manaswi </a:t>
          </a:r>
        </a:p>
        <a:p>
          <a:pPr algn="ctr"/>
          <a:r>
            <a:rPr lang="en-US" sz="1800" b="0" cap="none" spc="0">
              <a:ln w="0"/>
              <a:solidFill>
                <a:schemeClr val="tx1"/>
              </a:solidFill>
              <a:effectLst>
                <a:outerShdw blurRad="38100" dist="19050" dir="2700000" algn="tl" rotWithShape="0">
                  <a:schemeClr val="dk1">
                    <a:alpha val="40000"/>
                  </a:schemeClr>
                </a:outerShdw>
              </a:effectLst>
            </a:rPr>
            <a:t>Shrisha K</a:t>
          </a:r>
          <a:r>
            <a:rPr lang="en-US" sz="1800" b="0" cap="none" spc="0" baseline="0">
              <a:ln w="0"/>
              <a:solidFill>
                <a:schemeClr val="tx1"/>
              </a:solidFill>
              <a:effectLst>
                <a:outerShdw blurRad="38100" dist="19050" dir="2700000" algn="tl" rotWithShape="0">
                  <a:schemeClr val="dk1">
                    <a:alpha val="40000"/>
                  </a:schemeClr>
                </a:outerShdw>
              </a:effectLst>
            </a:rPr>
            <a:t> R</a:t>
          </a:r>
          <a:endParaRPr lang="en-US" sz="1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11</xdr:col>
          <xdr:colOff>482600</xdr:colOff>
          <xdr:row>27</xdr:row>
          <xdr:rowOff>152400</xdr:rowOff>
        </xdr:from>
        <xdr:to>
          <xdr:col>13</xdr:col>
          <xdr:colOff>482600</xdr:colOff>
          <xdr:row>29</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0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3366"/>
                  </a:solidFill>
                  <a:latin typeface="Calibri" pitchFamily="2" charset="0"/>
                  <a:cs typeface="Calibri" pitchFamily="2" charset="0"/>
                </a:rPr>
                <a:t>START</a:t>
              </a:r>
            </a:p>
          </xdr:txBody>
        </xdr:sp>
        <xdr:clientData fPrintsWithSheet="0"/>
      </xdr:twoCellAnchor>
    </mc:Choice>
    <mc:Fallback/>
  </mc:AlternateContent>
  <xdr:twoCellAnchor>
    <xdr:from>
      <xdr:col>0</xdr:col>
      <xdr:colOff>0</xdr:colOff>
      <xdr:row>0</xdr:row>
      <xdr:rowOff>38099</xdr:rowOff>
    </xdr:from>
    <xdr:to>
      <xdr:col>28</xdr:col>
      <xdr:colOff>276225</xdr:colOff>
      <xdr:row>27</xdr:row>
      <xdr:rowOff>23812</xdr:rowOff>
    </xdr:to>
    <xdr:graphicFrame macro="">
      <xdr:nvGraphicFramePr>
        <xdr:cNvPr id="3" name="Diagra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16</xdr:col>
      <xdr:colOff>127952</xdr:colOff>
      <xdr:row>12</xdr:row>
      <xdr:rowOff>159305</xdr:rowOff>
    </xdr:from>
    <xdr:to>
      <xdr:col>19</xdr:col>
      <xdr:colOff>444500</xdr:colOff>
      <xdr:row>22</xdr:row>
      <xdr:rowOff>105966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9906952" y="2350055"/>
          <a:ext cx="2150111" cy="177228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002060"/>
              </a:solidFill>
            </a:rPr>
            <a:t>GROUP 2</a:t>
          </a:r>
        </a:p>
        <a:p>
          <a:endParaRPr lang="en-IN" sz="2000" b="1">
            <a:solidFill>
              <a:srgbClr val="002060"/>
            </a:solidFill>
          </a:endParaRPr>
        </a:p>
        <a:p>
          <a:r>
            <a:rPr lang="en-IN" sz="2000" b="1">
              <a:solidFill>
                <a:srgbClr val="002060"/>
              </a:solidFill>
            </a:rPr>
            <a:t>Himaja</a:t>
          </a:r>
          <a:endParaRPr lang="en-IN" sz="2000" b="1" baseline="0">
            <a:solidFill>
              <a:srgbClr val="002060"/>
            </a:solidFill>
          </a:endParaRPr>
        </a:p>
        <a:p>
          <a:r>
            <a:rPr lang="en-IN" sz="2000" b="1" baseline="0">
              <a:solidFill>
                <a:srgbClr val="002060"/>
              </a:solidFill>
            </a:rPr>
            <a:t>Prajwal</a:t>
          </a:r>
        </a:p>
        <a:p>
          <a:r>
            <a:rPr lang="en-IN" sz="2000" b="1" baseline="0">
              <a:solidFill>
                <a:srgbClr val="002060"/>
              </a:solidFill>
            </a:rPr>
            <a:t>Shrisha</a:t>
          </a:r>
          <a:endParaRPr lang="en-IN" sz="2000" b="1">
            <a:solidFill>
              <a:srgbClr val="002060"/>
            </a:solidFill>
          </a:endParaRPr>
        </a:p>
      </xdr:txBody>
    </xdr:sp>
    <xdr:clientData/>
  </xdr:twoCellAnchor>
  <xdr:twoCellAnchor>
    <xdr:from>
      <xdr:col>21</xdr:col>
      <xdr:colOff>31750</xdr:colOff>
      <xdr:row>11</xdr:row>
      <xdr:rowOff>55562</xdr:rowOff>
    </xdr:from>
    <xdr:to>
      <xdr:col>23</xdr:col>
      <xdr:colOff>539750</xdr:colOff>
      <xdr:row>22</xdr:row>
      <xdr:rowOff>158750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66688" y="2063750"/>
          <a:ext cx="1730375" cy="211137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IN" sz="1400" b="1">
              <a:solidFill>
                <a:srgbClr val="002060"/>
              </a:solidFill>
              <a:latin typeface="+mn-lt"/>
              <a:ea typeface="+mn-ea"/>
              <a:cs typeface="+mn-cs"/>
            </a:rPr>
            <a:t>Table</a:t>
          </a:r>
          <a:r>
            <a:rPr lang="en-IN" sz="1400" b="1" baseline="0">
              <a:solidFill>
                <a:srgbClr val="002060"/>
              </a:solidFill>
              <a:latin typeface="+mn-lt"/>
              <a:ea typeface="+mn-ea"/>
              <a:cs typeface="+mn-cs"/>
            </a:rPr>
            <a:t> of Contents</a:t>
          </a:r>
          <a:r>
            <a:rPr lang="en-IN" sz="1400" b="1">
              <a:solidFill>
                <a:srgbClr val="002060"/>
              </a:solidFill>
              <a:latin typeface="+mn-lt"/>
              <a:ea typeface="+mn-ea"/>
              <a:cs typeface="+mn-cs"/>
            </a:rPr>
            <a:t>:</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1)Welcome </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2)Bibliography</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3)Dashboard</a:t>
          </a:r>
        </a:p>
        <a:p>
          <a:endParaRPr lang="en-IN" sz="1400" b="1">
            <a:solidFill>
              <a:srgbClr val="002060"/>
            </a:solidFill>
            <a:latin typeface="+mn-lt"/>
            <a:ea typeface="+mn-ea"/>
            <a:cs typeface="+mn-cs"/>
          </a:endParaRPr>
        </a:p>
        <a:p>
          <a:r>
            <a:rPr lang="en-IN" sz="1400" b="1">
              <a:solidFill>
                <a:srgbClr val="002060"/>
              </a:solidFill>
              <a:latin typeface="+mn-lt"/>
              <a:ea typeface="+mn-ea"/>
              <a:cs typeface="+mn-cs"/>
            </a:rPr>
            <a:t>4)Conclusion</a:t>
          </a:r>
        </a:p>
      </xdr:txBody>
    </xdr:sp>
    <xdr:clientData/>
  </xdr:twoCellAnchor>
  <xdr:oneCellAnchor>
    <xdr:from>
      <xdr:col>19</xdr:col>
      <xdr:colOff>444500</xdr:colOff>
      <xdr:row>23</xdr:row>
      <xdr:rowOff>55562</xdr:rowOff>
    </xdr:from>
    <xdr:ext cx="184731" cy="256160"/>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057063" y="4254500"/>
          <a:ext cx="184731" cy="256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2730500</xdr:colOff>
          <xdr:row>21</xdr:row>
          <xdr:rowOff>38100</xdr:rowOff>
        </xdr:from>
        <xdr:to>
          <xdr:col>3</xdr:col>
          <xdr:colOff>279400</xdr:colOff>
          <xdr:row>22</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80"/>
                  </a:solidFill>
                  <a:latin typeface="Calibri" pitchFamily="2" charset="0"/>
                  <a:cs typeface="Calibri" pitchFamily="2" charset="0"/>
                </a:rPr>
                <a:t>GO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1127299</xdr:colOff>
      <xdr:row>1</xdr:row>
      <xdr:rowOff>111126</xdr:rowOff>
    </xdr:from>
    <xdr:to>
      <xdr:col>15</xdr:col>
      <xdr:colOff>193640</xdr:colOff>
      <xdr:row>22</xdr:row>
      <xdr:rowOff>50244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317500</xdr:colOff>
      <xdr:row>1</xdr:row>
      <xdr:rowOff>95250</xdr:rowOff>
    </xdr:from>
    <xdr:to>
      <xdr:col>22</xdr:col>
      <xdr:colOff>508000</xdr:colOff>
      <xdr:row>22</xdr:row>
      <xdr:rowOff>15876</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401411</xdr:colOff>
      <xdr:row>22</xdr:row>
      <xdr:rowOff>142875</xdr:rowOff>
    </xdr:from>
    <xdr:to>
      <xdr:col>22</xdr:col>
      <xdr:colOff>551089</xdr:colOff>
      <xdr:row>39</xdr:row>
      <xdr:rowOff>111125</xdr:rowOff>
    </xdr:to>
    <xdr:graphicFrame macro="">
      <xdr:nvGraphicFramePr>
        <xdr:cNvPr id="5" name="Chart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331657</xdr:colOff>
      <xdr:row>10</xdr:row>
      <xdr:rowOff>102053</xdr:rowOff>
    </xdr:from>
    <xdr:to>
      <xdr:col>3</xdr:col>
      <xdr:colOff>943574</xdr:colOff>
      <xdr:row>21</xdr:row>
      <xdr:rowOff>187324</xdr:rowOff>
    </xdr:to>
    <mc:AlternateContent xmlns:mc="http://schemas.openxmlformats.org/markup-compatibility/2006" xmlns:a14="http://schemas.microsoft.com/office/drawing/2010/main">
      <mc:Choice Requires="a14">
        <xdr:graphicFrame macro="">
          <xdr:nvGraphicFramePr>
            <xdr:cNvPr id="6" name="Stat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220907" y="2848428"/>
              <a:ext cx="2183542" cy="3184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205922</xdr:colOff>
      <xdr:row>6</xdr:row>
      <xdr:rowOff>40821</xdr:rowOff>
    </xdr:from>
    <xdr:to>
      <xdr:col>2</xdr:col>
      <xdr:colOff>802822</xdr:colOff>
      <xdr:row>6</xdr:row>
      <xdr:rowOff>298450</xdr:rowOff>
    </xdr:to>
    <xdr:sp macro="" textlink="">
      <xdr:nvSpPr>
        <xdr:cNvPr id="9" name="Arrow: Left 8">
          <a:extLst>
            <a:ext uri="{FF2B5EF4-FFF2-40B4-BE49-F238E27FC236}">
              <a16:creationId xmlns:a16="http://schemas.microsoft.com/office/drawing/2014/main" id="{00000000-0008-0000-0200-000009000000}"/>
            </a:ext>
          </a:extLst>
        </xdr:cNvPr>
        <xdr:cNvSpPr/>
      </xdr:nvSpPr>
      <xdr:spPr>
        <a:xfrm>
          <a:off x="3090636" y="1524000"/>
          <a:ext cx="596900" cy="257629"/>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444500</xdr:colOff>
          <xdr:row>42</xdr:row>
          <xdr:rowOff>203200</xdr:rowOff>
        </xdr:from>
        <xdr:to>
          <xdr:col>8</xdr:col>
          <xdr:colOff>241300</xdr:colOff>
          <xdr:row>46</xdr:row>
          <xdr:rowOff>165100</xdr:rowOff>
        </xdr:to>
        <xdr:sp macro="" textlink="">
          <xdr:nvSpPr>
            <xdr:cNvPr id="21520" name="Button 16"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2200" b="1" i="0" u="none" strike="noStrike" baseline="0">
                  <a:solidFill>
                    <a:srgbClr val="0000FF"/>
                  </a:solidFill>
                  <a:latin typeface="Trebuchet MS" pitchFamily="2" charset="0"/>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127000</xdr:colOff>
          <xdr:row>42</xdr:row>
          <xdr:rowOff>215900</xdr:rowOff>
        </xdr:from>
        <xdr:to>
          <xdr:col>13</xdr:col>
          <xdr:colOff>508000</xdr:colOff>
          <xdr:row>46</xdr:row>
          <xdr:rowOff>177800</xdr:rowOff>
        </xdr:to>
        <xdr:sp macro="" textlink="">
          <xdr:nvSpPr>
            <xdr:cNvPr id="21521" name="Button 17"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2200" b="1" i="0" u="none" strike="noStrike" baseline="0">
                  <a:solidFill>
                    <a:srgbClr val="0000FF"/>
                  </a:solidFill>
                  <a:latin typeface="Trebuchet MS" pitchFamily="2" charset="0"/>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43</xdr:row>
          <xdr:rowOff>12700</xdr:rowOff>
        </xdr:from>
        <xdr:to>
          <xdr:col>16</xdr:col>
          <xdr:colOff>317500</xdr:colOff>
          <xdr:row>46</xdr:row>
          <xdr:rowOff>139700</xdr:rowOff>
        </xdr:to>
        <xdr:sp macro="" textlink="">
          <xdr:nvSpPr>
            <xdr:cNvPr id="21522" name="Button 18"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2200" b="1" i="0" u="none" strike="noStrike" baseline="0">
                  <a:solidFill>
                    <a:srgbClr val="0000FF"/>
                  </a:solidFill>
                  <a:latin typeface="Trebuchet MS" pitchFamily="2" charset="0"/>
                </a:rPr>
                <a:t>RESET DATA</a:t>
              </a:r>
            </a:p>
          </xdr:txBody>
        </xdr:sp>
        <xdr:clientData fPrintsWithSheet="0"/>
      </xdr:twoCellAnchor>
    </mc:Choice>
    <mc:Fallback/>
  </mc:AlternateContent>
  <xdr:twoCellAnchor>
    <xdr:from>
      <xdr:col>3</xdr:col>
      <xdr:colOff>1102360</xdr:colOff>
      <xdr:row>22</xdr:row>
      <xdr:rowOff>59690</xdr:rowOff>
    </xdr:from>
    <xdr:to>
      <xdr:col>14</xdr:col>
      <xdr:colOff>368300</xdr:colOff>
      <xdr:row>39</xdr:row>
      <xdr:rowOff>76200</xdr:rowOff>
    </xdr:to>
    <xdr:graphicFrame macro="">
      <xdr:nvGraphicFramePr>
        <xdr:cNvPr id="7" name="Chart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482600</xdr:colOff>
      <xdr:row>10</xdr:row>
      <xdr:rowOff>152400</xdr:rowOff>
    </xdr:from>
    <xdr:to>
      <xdr:col>1</xdr:col>
      <xdr:colOff>1143000</xdr:colOff>
      <xdr:row>12</xdr:row>
      <xdr:rowOff>203200</xdr:rowOff>
    </xdr:to>
    <xdr:pic>
      <xdr:nvPicPr>
        <xdr:cNvPr id="8" name="Graphic 7" descr="Group of people outline">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92200" y="2914650"/>
          <a:ext cx="660400" cy="660400"/>
        </a:xfrm>
        <a:prstGeom prst="rect">
          <a:avLst/>
        </a:prstGeom>
      </xdr:spPr>
    </xdr:pic>
    <xdr:clientData/>
  </xdr:twoCellAnchor>
  <xdr:twoCellAnchor editAs="oneCell">
    <xdr:from>
      <xdr:col>1</xdr:col>
      <xdr:colOff>876300</xdr:colOff>
      <xdr:row>16</xdr:row>
      <xdr:rowOff>0</xdr:rowOff>
    </xdr:from>
    <xdr:to>
      <xdr:col>1</xdr:col>
      <xdr:colOff>1282700</xdr:colOff>
      <xdr:row>17</xdr:row>
      <xdr:rowOff>177800</xdr:rowOff>
    </xdr:to>
    <xdr:pic>
      <xdr:nvPicPr>
        <xdr:cNvPr id="11" name="Graphic 10" descr="Dollar with solid fill">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85900" y="4635500"/>
          <a:ext cx="406400" cy="406400"/>
        </a:xfrm>
        <a:prstGeom prst="rect">
          <a:avLst/>
        </a:prstGeom>
      </xdr:spPr>
    </xdr:pic>
    <xdr:clientData/>
  </xdr:twoCellAnchor>
  <xdr:twoCellAnchor editAs="oneCell">
    <xdr:from>
      <xdr:col>1</xdr:col>
      <xdr:colOff>787400</xdr:colOff>
      <xdr:row>26</xdr:row>
      <xdr:rowOff>254000</xdr:rowOff>
    </xdr:from>
    <xdr:to>
      <xdr:col>1</xdr:col>
      <xdr:colOff>1320800</xdr:colOff>
      <xdr:row>29</xdr:row>
      <xdr:rowOff>38100</xdr:rowOff>
    </xdr:to>
    <xdr:pic>
      <xdr:nvPicPr>
        <xdr:cNvPr id="13" name="Graphic 12" descr="Needle outline">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97000" y="7150100"/>
          <a:ext cx="533400" cy="533400"/>
        </a:xfrm>
        <a:prstGeom prst="rect">
          <a:avLst/>
        </a:prstGeom>
      </xdr:spPr>
    </xdr:pic>
    <xdr:clientData/>
  </xdr:twoCellAnchor>
  <xdr:twoCellAnchor editAs="oneCell">
    <xdr:from>
      <xdr:col>1</xdr:col>
      <xdr:colOff>825500</xdr:colOff>
      <xdr:row>21</xdr:row>
      <xdr:rowOff>304800</xdr:rowOff>
    </xdr:from>
    <xdr:to>
      <xdr:col>1</xdr:col>
      <xdr:colOff>1371600</xdr:colOff>
      <xdr:row>24</xdr:row>
      <xdr:rowOff>63500</xdr:rowOff>
    </xdr:to>
    <xdr:pic>
      <xdr:nvPicPr>
        <xdr:cNvPr id="15" name="Graphic 14" descr="Lungs outline">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435100" y="5930900"/>
          <a:ext cx="546100" cy="546100"/>
        </a:xfrm>
        <a:prstGeom prst="rect">
          <a:avLst/>
        </a:prstGeom>
      </xdr:spPr>
    </xdr:pic>
    <xdr:clientData/>
  </xdr:twoCellAnchor>
  <xdr:twoCellAnchor editAs="oneCell">
    <xdr:from>
      <xdr:col>1</xdr:col>
      <xdr:colOff>762000</xdr:colOff>
      <xdr:row>31</xdr:row>
      <xdr:rowOff>241300</xdr:rowOff>
    </xdr:from>
    <xdr:to>
      <xdr:col>1</xdr:col>
      <xdr:colOff>1422400</xdr:colOff>
      <xdr:row>34</xdr:row>
      <xdr:rowOff>114300</xdr:rowOff>
    </xdr:to>
    <xdr:pic>
      <xdr:nvPicPr>
        <xdr:cNvPr id="17" name="Graphic 16" descr="Graduation cap outline">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71600" y="8356600"/>
          <a:ext cx="660400" cy="660400"/>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406400</xdr:colOff>
          <xdr:row>42</xdr:row>
          <xdr:rowOff>203200</xdr:rowOff>
        </xdr:from>
        <xdr:to>
          <xdr:col>20</xdr:col>
          <xdr:colOff>444500</xdr:colOff>
          <xdr:row>46</xdr:row>
          <xdr:rowOff>165100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2400" b="1" i="0" u="none" strike="noStrike" baseline="0">
                  <a:solidFill>
                    <a:srgbClr val="0000FF"/>
                  </a:solidFill>
                  <a:latin typeface="Trebuchet MS" pitchFamily="2" charset="0"/>
                </a:rPr>
                <a:t>Conclusion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281940</xdr:colOff>
      <xdr:row>26</xdr:row>
      <xdr:rowOff>30480</xdr:rowOff>
    </xdr:from>
    <xdr:to>
      <xdr:col>6</xdr:col>
      <xdr:colOff>464820</xdr:colOff>
      <xdr:row>26</xdr:row>
      <xdr:rowOff>205740</xdr:rowOff>
    </xdr:to>
    <xdr:sp macro="" textlink="">
      <xdr:nvSpPr>
        <xdr:cNvPr id="2" name="Star: 5 Points 1">
          <a:extLst>
            <a:ext uri="{FF2B5EF4-FFF2-40B4-BE49-F238E27FC236}">
              <a16:creationId xmlns:a16="http://schemas.microsoft.com/office/drawing/2014/main" id="{00000000-0008-0000-0600-000002000000}"/>
            </a:ext>
          </a:extLst>
        </xdr:cNvPr>
        <xdr:cNvSpPr/>
      </xdr:nvSpPr>
      <xdr:spPr>
        <a:xfrm>
          <a:off x="511302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26</xdr:row>
      <xdr:rowOff>30480</xdr:rowOff>
    </xdr:from>
    <xdr:to>
      <xdr:col>6</xdr:col>
      <xdr:colOff>205740</xdr:colOff>
      <xdr:row>26</xdr:row>
      <xdr:rowOff>205740</xdr:rowOff>
    </xdr:to>
    <xdr:sp macro="" textlink="">
      <xdr:nvSpPr>
        <xdr:cNvPr id="3" name="Star: 5 Points 2">
          <a:extLst>
            <a:ext uri="{FF2B5EF4-FFF2-40B4-BE49-F238E27FC236}">
              <a16:creationId xmlns:a16="http://schemas.microsoft.com/office/drawing/2014/main" id="{00000000-0008-0000-0600-000003000000}"/>
            </a:ext>
          </a:extLst>
        </xdr:cNvPr>
        <xdr:cNvSpPr/>
      </xdr:nvSpPr>
      <xdr:spPr>
        <a:xfrm>
          <a:off x="485394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746760</xdr:colOff>
      <xdr:row>26</xdr:row>
      <xdr:rowOff>38100</xdr:rowOff>
    </xdr:from>
    <xdr:to>
      <xdr:col>6</xdr:col>
      <xdr:colOff>929640</xdr:colOff>
      <xdr:row>26</xdr:row>
      <xdr:rowOff>213360</xdr:rowOff>
    </xdr:to>
    <xdr:sp macro="" textlink="">
      <xdr:nvSpPr>
        <xdr:cNvPr id="4" name="Star: 5 Points 3">
          <a:extLst>
            <a:ext uri="{FF2B5EF4-FFF2-40B4-BE49-F238E27FC236}">
              <a16:creationId xmlns:a16="http://schemas.microsoft.com/office/drawing/2014/main" id="{00000000-0008-0000-0600-000004000000}"/>
            </a:ext>
          </a:extLst>
        </xdr:cNvPr>
        <xdr:cNvSpPr/>
      </xdr:nvSpPr>
      <xdr:spPr>
        <a:xfrm>
          <a:off x="5577840" y="59817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525780</xdr:colOff>
      <xdr:row>26</xdr:row>
      <xdr:rowOff>30480</xdr:rowOff>
    </xdr:from>
    <xdr:to>
      <xdr:col>6</xdr:col>
      <xdr:colOff>708660</xdr:colOff>
      <xdr:row>26</xdr:row>
      <xdr:rowOff>205740</xdr:rowOff>
    </xdr:to>
    <xdr:sp macro="" textlink="">
      <xdr:nvSpPr>
        <xdr:cNvPr id="5" name="Star: 5 Points 4">
          <a:extLst>
            <a:ext uri="{FF2B5EF4-FFF2-40B4-BE49-F238E27FC236}">
              <a16:creationId xmlns:a16="http://schemas.microsoft.com/office/drawing/2014/main" id="{00000000-0008-0000-0600-000005000000}"/>
            </a:ext>
          </a:extLst>
        </xdr:cNvPr>
        <xdr:cNvSpPr/>
      </xdr:nvSpPr>
      <xdr:spPr>
        <a:xfrm>
          <a:off x="5356860" y="597408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27</xdr:row>
      <xdr:rowOff>38100</xdr:rowOff>
    </xdr:from>
    <xdr:to>
      <xdr:col>6</xdr:col>
      <xdr:colOff>205740</xdr:colOff>
      <xdr:row>27</xdr:row>
      <xdr:rowOff>213360</xdr:rowOff>
    </xdr:to>
    <xdr:sp macro="" textlink="">
      <xdr:nvSpPr>
        <xdr:cNvPr id="6" name="Star: 5 Points 5">
          <a:extLst>
            <a:ext uri="{FF2B5EF4-FFF2-40B4-BE49-F238E27FC236}">
              <a16:creationId xmlns:a16="http://schemas.microsoft.com/office/drawing/2014/main" id="{00000000-0008-0000-0600-000006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27</xdr:row>
      <xdr:rowOff>38100</xdr:rowOff>
    </xdr:from>
    <xdr:to>
      <xdr:col>6</xdr:col>
      <xdr:colOff>457200</xdr:colOff>
      <xdr:row>27</xdr:row>
      <xdr:rowOff>213360</xdr:rowOff>
    </xdr:to>
    <xdr:sp macro="" textlink="">
      <xdr:nvSpPr>
        <xdr:cNvPr id="7" name="Star: 5 Points 6">
          <a:extLst>
            <a:ext uri="{FF2B5EF4-FFF2-40B4-BE49-F238E27FC236}">
              <a16:creationId xmlns:a16="http://schemas.microsoft.com/office/drawing/2014/main" id="{00000000-0008-0000-0600-000007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27</xdr:row>
      <xdr:rowOff>38100</xdr:rowOff>
    </xdr:from>
    <xdr:to>
      <xdr:col>6</xdr:col>
      <xdr:colOff>731520</xdr:colOff>
      <xdr:row>27</xdr:row>
      <xdr:rowOff>213360</xdr:rowOff>
    </xdr:to>
    <xdr:sp macro="" textlink="">
      <xdr:nvSpPr>
        <xdr:cNvPr id="8" name="Star: 5 Points 7">
          <a:extLst>
            <a:ext uri="{FF2B5EF4-FFF2-40B4-BE49-F238E27FC236}">
              <a16:creationId xmlns:a16="http://schemas.microsoft.com/office/drawing/2014/main" id="{00000000-0008-0000-0600-000008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28</xdr:row>
      <xdr:rowOff>38100</xdr:rowOff>
    </xdr:from>
    <xdr:to>
      <xdr:col>6</xdr:col>
      <xdr:colOff>220980</xdr:colOff>
      <xdr:row>28</xdr:row>
      <xdr:rowOff>213360</xdr:rowOff>
    </xdr:to>
    <xdr:sp macro="" textlink="">
      <xdr:nvSpPr>
        <xdr:cNvPr id="9" name="Star: 5 Points 8">
          <a:extLst>
            <a:ext uri="{FF2B5EF4-FFF2-40B4-BE49-F238E27FC236}">
              <a16:creationId xmlns:a16="http://schemas.microsoft.com/office/drawing/2014/main" id="{00000000-0008-0000-0600-000009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28</xdr:row>
      <xdr:rowOff>38100</xdr:rowOff>
    </xdr:from>
    <xdr:to>
      <xdr:col>6</xdr:col>
      <xdr:colOff>480060</xdr:colOff>
      <xdr:row>28</xdr:row>
      <xdr:rowOff>213360</xdr:rowOff>
    </xdr:to>
    <xdr:sp macro="" textlink="">
      <xdr:nvSpPr>
        <xdr:cNvPr id="10" name="Star: 5 Points 9">
          <a:extLst>
            <a:ext uri="{FF2B5EF4-FFF2-40B4-BE49-F238E27FC236}">
              <a16:creationId xmlns:a16="http://schemas.microsoft.com/office/drawing/2014/main" id="{00000000-0008-0000-0600-00000A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60960</xdr:colOff>
      <xdr:row>29</xdr:row>
      <xdr:rowOff>22860</xdr:rowOff>
    </xdr:from>
    <xdr:to>
      <xdr:col>6</xdr:col>
      <xdr:colOff>243840</xdr:colOff>
      <xdr:row>29</xdr:row>
      <xdr:rowOff>198120</xdr:rowOff>
    </xdr:to>
    <xdr:sp macro="" textlink="">
      <xdr:nvSpPr>
        <xdr:cNvPr id="11" name="Star: 5 Points 10">
          <a:extLst>
            <a:ext uri="{FF2B5EF4-FFF2-40B4-BE49-F238E27FC236}">
              <a16:creationId xmlns:a16="http://schemas.microsoft.com/office/drawing/2014/main" id="{00000000-0008-0000-0600-00000B000000}"/>
            </a:ext>
          </a:extLst>
        </xdr:cNvPr>
        <xdr:cNvSpPr/>
      </xdr:nvSpPr>
      <xdr:spPr>
        <a:xfrm>
          <a:off x="4892040" y="665226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30</xdr:row>
      <xdr:rowOff>38100</xdr:rowOff>
    </xdr:from>
    <xdr:to>
      <xdr:col>6</xdr:col>
      <xdr:colOff>205740</xdr:colOff>
      <xdr:row>30</xdr:row>
      <xdr:rowOff>213360</xdr:rowOff>
    </xdr:to>
    <xdr:sp macro="" textlink="">
      <xdr:nvSpPr>
        <xdr:cNvPr id="15" name="Star: 5 Points 14">
          <a:extLst>
            <a:ext uri="{FF2B5EF4-FFF2-40B4-BE49-F238E27FC236}">
              <a16:creationId xmlns:a16="http://schemas.microsoft.com/office/drawing/2014/main" id="{00000000-0008-0000-0600-00000F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30</xdr:row>
      <xdr:rowOff>38100</xdr:rowOff>
    </xdr:from>
    <xdr:to>
      <xdr:col>6</xdr:col>
      <xdr:colOff>457200</xdr:colOff>
      <xdr:row>30</xdr:row>
      <xdr:rowOff>213360</xdr:rowOff>
    </xdr:to>
    <xdr:sp macro="" textlink="">
      <xdr:nvSpPr>
        <xdr:cNvPr id="16" name="Star: 5 Points 15">
          <a:extLst>
            <a:ext uri="{FF2B5EF4-FFF2-40B4-BE49-F238E27FC236}">
              <a16:creationId xmlns:a16="http://schemas.microsoft.com/office/drawing/2014/main" id="{00000000-0008-0000-0600-000010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30</xdr:row>
      <xdr:rowOff>38100</xdr:rowOff>
    </xdr:from>
    <xdr:to>
      <xdr:col>6</xdr:col>
      <xdr:colOff>731520</xdr:colOff>
      <xdr:row>30</xdr:row>
      <xdr:rowOff>213360</xdr:rowOff>
    </xdr:to>
    <xdr:sp macro="" textlink="">
      <xdr:nvSpPr>
        <xdr:cNvPr id="17" name="Star: 5 Points 16">
          <a:extLst>
            <a:ext uri="{FF2B5EF4-FFF2-40B4-BE49-F238E27FC236}">
              <a16:creationId xmlns:a16="http://schemas.microsoft.com/office/drawing/2014/main" id="{00000000-0008-0000-0600-000011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31</xdr:row>
      <xdr:rowOff>38100</xdr:rowOff>
    </xdr:from>
    <xdr:to>
      <xdr:col>6</xdr:col>
      <xdr:colOff>205740</xdr:colOff>
      <xdr:row>31</xdr:row>
      <xdr:rowOff>213360</xdr:rowOff>
    </xdr:to>
    <xdr:sp macro="" textlink="">
      <xdr:nvSpPr>
        <xdr:cNvPr id="18" name="Star: 5 Points 17">
          <a:extLst>
            <a:ext uri="{FF2B5EF4-FFF2-40B4-BE49-F238E27FC236}">
              <a16:creationId xmlns:a16="http://schemas.microsoft.com/office/drawing/2014/main" id="{00000000-0008-0000-0600-000012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31</xdr:row>
      <xdr:rowOff>38100</xdr:rowOff>
    </xdr:from>
    <xdr:to>
      <xdr:col>6</xdr:col>
      <xdr:colOff>457200</xdr:colOff>
      <xdr:row>31</xdr:row>
      <xdr:rowOff>213360</xdr:rowOff>
    </xdr:to>
    <xdr:sp macro="" textlink="">
      <xdr:nvSpPr>
        <xdr:cNvPr id="19" name="Star: 5 Points 18">
          <a:extLst>
            <a:ext uri="{FF2B5EF4-FFF2-40B4-BE49-F238E27FC236}">
              <a16:creationId xmlns:a16="http://schemas.microsoft.com/office/drawing/2014/main" id="{00000000-0008-0000-0600-000013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31</xdr:row>
      <xdr:rowOff>38100</xdr:rowOff>
    </xdr:from>
    <xdr:to>
      <xdr:col>6</xdr:col>
      <xdr:colOff>731520</xdr:colOff>
      <xdr:row>31</xdr:row>
      <xdr:rowOff>213360</xdr:rowOff>
    </xdr:to>
    <xdr:sp macro="" textlink="">
      <xdr:nvSpPr>
        <xdr:cNvPr id="20" name="Star: 5 Points 19">
          <a:extLst>
            <a:ext uri="{FF2B5EF4-FFF2-40B4-BE49-F238E27FC236}">
              <a16:creationId xmlns:a16="http://schemas.microsoft.com/office/drawing/2014/main" id="{00000000-0008-0000-0600-000014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22860</xdr:colOff>
      <xdr:row>34</xdr:row>
      <xdr:rowOff>38100</xdr:rowOff>
    </xdr:from>
    <xdr:to>
      <xdr:col>6</xdr:col>
      <xdr:colOff>205740</xdr:colOff>
      <xdr:row>34</xdr:row>
      <xdr:rowOff>213360</xdr:rowOff>
    </xdr:to>
    <xdr:sp macro="" textlink="">
      <xdr:nvSpPr>
        <xdr:cNvPr id="21" name="Star: 5 Points 20">
          <a:extLst>
            <a:ext uri="{FF2B5EF4-FFF2-40B4-BE49-F238E27FC236}">
              <a16:creationId xmlns:a16="http://schemas.microsoft.com/office/drawing/2014/main" id="{00000000-0008-0000-0600-000015000000}"/>
            </a:ext>
          </a:extLst>
        </xdr:cNvPr>
        <xdr:cNvSpPr/>
      </xdr:nvSpPr>
      <xdr:spPr>
        <a:xfrm>
          <a:off x="485394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274320</xdr:colOff>
      <xdr:row>34</xdr:row>
      <xdr:rowOff>38100</xdr:rowOff>
    </xdr:from>
    <xdr:to>
      <xdr:col>6</xdr:col>
      <xdr:colOff>457200</xdr:colOff>
      <xdr:row>34</xdr:row>
      <xdr:rowOff>213360</xdr:rowOff>
    </xdr:to>
    <xdr:sp macro="" textlink="">
      <xdr:nvSpPr>
        <xdr:cNvPr id="22" name="Star: 5 Points 21">
          <a:extLst>
            <a:ext uri="{FF2B5EF4-FFF2-40B4-BE49-F238E27FC236}">
              <a16:creationId xmlns:a16="http://schemas.microsoft.com/office/drawing/2014/main" id="{00000000-0008-0000-0600-000016000000}"/>
            </a:ext>
          </a:extLst>
        </xdr:cNvPr>
        <xdr:cNvSpPr/>
      </xdr:nvSpPr>
      <xdr:spPr>
        <a:xfrm>
          <a:off x="510540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548640</xdr:colOff>
      <xdr:row>34</xdr:row>
      <xdr:rowOff>38100</xdr:rowOff>
    </xdr:from>
    <xdr:to>
      <xdr:col>6</xdr:col>
      <xdr:colOff>731520</xdr:colOff>
      <xdr:row>34</xdr:row>
      <xdr:rowOff>213360</xdr:rowOff>
    </xdr:to>
    <xdr:sp macro="" textlink="">
      <xdr:nvSpPr>
        <xdr:cNvPr id="23" name="Star: 5 Points 22">
          <a:extLst>
            <a:ext uri="{FF2B5EF4-FFF2-40B4-BE49-F238E27FC236}">
              <a16:creationId xmlns:a16="http://schemas.microsoft.com/office/drawing/2014/main" id="{00000000-0008-0000-0600-000017000000}"/>
            </a:ext>
          </a:extLst>
        </xdr:cNvPr>
        <xdr:cNvSpPr/>
      </xdr:nvSpPr>
      <xdr:spPr>
        <a:xfrm>
          <a:off x="5379720" y="62103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30480</xdr:colOff>
      <xdr:row>32</xdr:row>
      <xdr:rowOff>22860</xdr:rowOff>
    </xdr:from>
    <xdr:to>
      <xdr:col>6</xdr:col>
      <xdr:colOff>213360</xdr:colOff>
      <xdr:row>32</xdr:row>
      <xdr:rowOff>198120</xdr:rowOff>
    </xdr:to>
    <xdr:sp macro="" textlink="">
      <xdr:nvSpPr>
        <xdr:cNvPr id="24" name="Star: 5 Points 23">
          <a:extLst>
            <a:ext uri="{FF2B5EF4-FFF2-40B4-BE49-F238E27FC236}">
              <a16:creationId xmlns:a16="http://schemas.microsoft.com/office/drawing/2014/main" id="{00000000-0008-0000-0600-000018000000}"/>
            </a:ext>
          </a:extLst>
        </xdr:cNvPr>
        <xdr:cNvSpPr/>
      </xdr:nvSpPr>
      <xdr:spPr>
        <a:xfrm>
          <a:off x="4861560" y="733806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33</xdr:row>
      <xdr:rowOff>38100</xdr:rowOff>
    </xdr:from>
    <xdr:to>
      <xdr:col>6</xdr:col>
      <xdr:colOff>220980</xdr:colOff>
      <xdr:row>33</xdr:row>
      <xdr:rowOff>213360</xdr:rowOff>
    </xdr:to>
    <xdr:sp macro="" textlink="">
      <xdr:nvSpPr>
        <xdr:cNvPr id="25" name="Star: 5 Points 24">
          <a:extLst>
            <a:ext uri="{FF2B5EF4-FFF2-40B4-BE49-F238E27FC236}">
              <a16:creationId xmlns:a16="http://schemas.microsoft.com/office/drawing/2014/main" id="{00000000-0008-0000-0600-000019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33</xdr:row>
      <xdr:rowOff>38100</xdr:rowOff>
    </xdr:from>
    <xdr:to>
      <xdr:col>6</xdr:col>
      <xdr:colOff>480060</xdr:colOff>
      <xdr:row>33</xdr:row>
      <xdr:rowOff>213360</xdr:rowOff>
    </xdr:to>
    <xdr:sp macro="" textlink="">
      <xdr:nvSpPr>
        <xdr:cNvPr id="26" name="Star: 5 Points 25">
          <a:extLst>
            <a:ext uri="{FF2B5EF4-FFF2-40B4-BE49-F238E27FC236}">
              <a16:creationId xmlns:a16="http://schemas.microsoft.com/office/drawing/2014/main" id="{00000000-0008-0000-0600-00001A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25</xdr:row>
      <xdr:rowOff>38100</xdr:rowOff>
    </xdr:from>
    <xdr:to>
      <xdr:col>6</xdr:col>
      <xdr:colOff>220980</xdr:colOff>
      <xdr:row>25</xdr:row>
      <xdr:rowOff>213360</xdr:rowOff>
    </xdr:to>
    <xdr:sp macro="" textlink="">
      <xdr:nvSpPr>
        <xdr:cNvPr id="27" name="Star: 5 Points 26">
          <a:extLst>
            <a:ext uri="{FF2B5EF4-FFF2-40B4-BE49-F238E27FC236}">
              <a16:creationId xmlns:a16="http://schemas.microsoft.com/office/drawing/2014/main" id="{00000000-0008-0000-0600-00001B000000}"/>
            </a:ext>
          </a:extLst>
        </xdr:cNvPr>
        <xdr:cNvSpPr/>
      </xdr:nvSpPr>
      <xdr:spPr>
        <a:xfrm>
          <a:off x="486918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297180</xdr:colOff>
      <xdr:row>25</xdr:row>
      <xdr:rowOff>38100</xdr:rowOff>
    </xdr:from>
    <xdr:to>
      <xdr:col>6</xdr:col>
      <xdr:colOff>480060</xdr:colOff>
      <xdr:row>25</xdr:row>
      <xdr:rowOff>213360</xdr:rowOff>
    </xdr:to>
    <xdr:sp macro="" textlink="">
      <xdr:nvSpPr>
        <xdr:cNvPr id="28" name="Star: 5 Points 27">
          <a:extLst>
            <a:ext uri="{FF2B5EF4-FFF2-40B4-BE49-F238E27FC236}">
              <a16:creationId xmlns:a16="http://schemas.microsoft.com/office/drawing/2014/main" id="{00000000-0008-0000-0600-00001C000000}"/>
            </a:ext>
          </a:extLst>
        </xdr:cNvPr>
        <xdr:cNvSpPr/>
      </xdr:nvSpPr>
      <xdr:spPr>
        <a:xfrm>
          <a:off x="5128260" y="6438900"/>
          <a:ext cx="182880" cy="175260"/>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358716</xdr:colOff>
      <xdr:row>5</xdr:row>
      <xdr:rowOff>104811</xdr:rowOff>
    </xdr:from>
    <xdr:to>
      <xdr:col>14</xdr:col>
      <xdr:colOff>373812</xdr:colOff>
      <xdr:row>24</xdr:row>
      <xdr:rowOff>68222</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aswi deshmukh" refreshedDate="45132.460378935182" createdVersion="8" refreshedVersion="8" minRefreshableVersion="3" recordCount="134" xr:uid="{5EC38C67-0D0E-498B-B309-FD7584D1F339}">
  <cacheSource type="worksheet">
    <worksheetSource ref="A1:S1048576" sheet="Normalized Dataset"/>
  </cacheSource>
  <cacheFields count="19">
    <cacheField name="Column1" numFmtId="0">
      <sharedItems containsString="0" containsBlank="1" containsNumber="1" containsInteger="1" minValue="0" maxValue="342"/>
    </cacheField>
    <cacheField name="City" numFmtId="0">
      <sharedItems containsBlank="1"/>
    </cacheField>
    <cacheField name="State" numFmtId="0">
      <sharedItems containsBlank="1" count="11">
        <s v="Arizona"/>
        <s v="California"/>
        <s v="Colorado"/>
        <s v="Florida"/>
        <s v="Georgia"/>
        <s v="Massachusetts"/>
        <s v="New York"/>
        <s v="North Carolina"/>
        <s v="Texas"/>
        <s v="Washington"/>
        <m/>
      </sharedItems>
    </cacheField>
    <cacheField name="Region" numFmtId="0">
      <sharedItems containsBlank="1"/>
    </cacheField>
    <cacheField name="Size" numFmtId="0">
      <sharedItems containsBlank="1"/>
    </cacheField>
    <cacheField name="Population" numFmtId="0">
      <sharedItems containsString="0" containsBlank="1" containsNumber="1" containsInteger="1" minValue="62584" maxValue="20140470"/>
    </cacheField>
    <cacheField name="AvgRent" numFmtId="0">
      <sharedItems containsString="0" containsBlank="1" containsNumber="1" containsInteger="1" minValue="859" maxValue="3422"/>
    </cacheField>
    <cacheField name="MedianRent" numFmtId="0">
      <sharedItems containsString="0" containsBlank="1" containsNumber="1" containsInteger="1" minValue="692" maxValue="3000"/>
    </cacheField>
    <cacheField name="Umemployment Rate" numFmtId="0">
      <sharedItems containsString="0" containsBlank="1" containsNumber="1" minValue="0" maxValue="0.13699999999999998"/>
    </cacheField>
    <cacheField name="AvgIncome" numFmtId="0">
      <sharedItems containsString="0" containsBlank="1" containsNumber="1" containsInteger="1" minValue="34503" maxValue="136338"/>
    </cacheField>
    <cacheField name="CostOfLiving" numFmtId="0">
      <sharedItems containsString="0" containsBlank="1" containsNumber="1" minValue="85.7" maxValue="178.6"/>
    </cacheField>
    <cacheField name="PriceParity" numFmtId="0">
      <sharedItems containsString="0" containsBlank="1" containsNumber="1" minValue="87.4" maxValue="119.83"/>
    </cacheField>
    <cacheField name="CommuteTime" numFmtId="0">
      <sharedItems containsString="0" containsBlank="1" containsNumber="1" minValue="16.399999999999999" maxValue="36.700000000000003"/>
    </cacheField>
    <cacheField name="MedianAQI" numFmtId="0">
      <sharedItems containsString="0" containsBlank="1" containsNumber="1" containsInteger="1" minValue="13" maxValue="84"/>
    </cacheField>
    <cacheField name="WalkScore" numFmtId="0">
      <sharedItems containsString="0" containsBlank="1" containsNumber="1" minValue="21.4" maxValue="88.7"/>
    </cacheField>
    <cacheField name="BikeScore" numFmtId="0">
      <sharedItems containsString="0" containsBlank="1" containsNumber="1" minValue="29.7" maxValue="72.3"/>
    </cacheField>
    <cacheField name="TransitScore" numFmtId="0">
      <sharedItems containsString="0" containsBlank="1" containsNumber="1" minValue="0" maxValue="6.9"/>
    </cacheField>
    <cacheField name="Latitude" numFmtId="0">
      <sharedItems containsString="0" containsBlank="1" containsNumber="1" minValue="25.783999999999999" maxValue="48.754800000000003"/>
    </cacheField>
    <cacheField name="Longitude" numFmtId="0">
      <sharedItems containsString="0" containsBlank="1" containsNumber="1" minValue="-122.96299999999999" maxValue="-71.0852"/>
    </cacheField>
  </cacheFields>
  <extLst>
    <ext xmlns:x14="http://schemas.microsoft.com/office/spreadsheetml/2009/9/main" uri="{725AE2AE-9491-48be-B2B4-4EB974FC3084}">
      <x14:pivotCacheDefinition pivotCacheId="19145222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n v="271"/>
    <s v="Flagstaff"/>
    <x v="0"/>
    <s v="West"/>
    <s v="Small"/>
    <n v="145101"/>
    <n v="2317"/>
    <n v="1447"/>
    <n v="3.7999999999999999E-2"/>
    <n v="56914"/>
    <n v="108.5"/>
    <n v="95.55"/>
    <n v="16.600000000000001"/>
    <n v="47"/>
    <m/>
    <m/>
    <n v="2.1"/>
    <n v="35.187199999999997"/>
    <n v="-111.6194"/>
  </r>
  <r>
    <n v="204"/>
    <s v="Lake Havasu City"/>
    <x v="0"/>
    <s v="West"/>
    <s v="Small"/>
    <n v="213267"/>
    <n v="1716"/>
    <n v="871"/>
    <n v="3.9E-2"/>
    <n v="41331"/>
    <n v="98.4"/>
    <n v="89.59"/>
    <n v="21.8"/>
    <n v="18"/>
    <m/>
    <m/>
    <n v="0.4"/>
    <n v="34.500599999999999"/>
    <n v="-114.3113"/>
  </r>
  <r>
    <n v="10"/>
    <s v="Phoenix"/>
    <x v="0"/>
    <s v="West"/>
    <s v="Large"/>
    <n v="4845832"/>
    <n v="1755"/>
    <n v="1584"/>
    <n v="2.7000000000000003E-2"/>
    <n v="58308"/>
    <n v="104.3"/>
    <n v="99.18"/>
    <n v="26.4"/>
    <n v="77"/>
    <n v="41.4"/>
    <n v="55.9"/>
    <n v="4.0999999999999996"/>
    <n v="33.572200000000002"/>
    <n v="-112.08920000000001"/>
  </r>
  <r>
    <n v="297"/>
    <s v="Sierra Vista"/>
    <x v="0"/>
    <s v="West"/>
    <s v="Small"/>
    <n v="125447"/>
    <n v="1464"/>
    <n v="825"/>
    <n v="3.6000000000000004E-2"/>
    <n v="49096"/>
    <n v="93.2"/>
    <n v="88.13"/>
    <m/>
    <n v="45"/>
    <m/>
    <m/>
    <n v="0.7"/>
    <n v="31.562999999999999"/>
    <n v="-110.31529999999999"/>
  </r>
  <r>
    <n v="52"/>
    <s v="Tucson"/>
    <x v="0"/>
    <s v="West"/>
    <s v="Large"/>
    <n v="1043433"/>
    <n v="1523"/>
    <n v="951"/>
    <n v="3.1E-2"/>
    <n v="52942"/>
    <n v="97.7"/>
    <n v="92.92"/>
    <n v="24.4"/>
    <n v="48"/>
    <n v="43.2"/>
    <n v="66.3"/>
    <n v="3.7"/>
    <n v="32.1541"/>
    <n v="-110.87869999999999"/>
  </r>
  <r>
    <n v="212"/>
    <s v="Yuma"/>
    <x v="0"/>
    <s v="West"/>
    <s v="Small"/>
    <n v="203881"/>
    <n v="1535"/>
    <n v="892"/>
    <n v="0.13699999999999998"/>
    <n v="44299"/>
    <n v="94.5"/>
    <n v="89.54"/>
    <n v="20"/>
    <n v="46"/>
    <m/>
    <m/>
    <n v="2"/>
    <n v="32.599499999999999"/>
    <n v="-114.5491"/>
  </r>
  <r>
    <n v="61"/>
    <s v="Bakersfield"/>
    <x v="1"/>
    <s v="West"/>
    <s v="Mid-Sized"/>
    <n v="909235"/>
    <n v="1836"/>
    <n v="927"/>
    <n v="6.7000000000000004E-2"/>
    <n v="45961"/>
    <n v="102.9"/>
    <n v="100.94"/>
    <n v="22.6"/>
    <n v="57"/>
    <n v="37.299999999999997"/>
    <n v="43.7"/>
    <n v="3.1"/>
    <n v="35.352899999999998"/>
    <n v="-119.0359"/>
  </r>
  <r>
    <n v="205"/>
    <s v="Chico"/>
    <x v="1"/>
    <s v="West"/>
    <s v="Small"/>
    <n v="211632"/>
    <n v="1620"/>
    <n v="1011"/>
    <n v="0.04"/>
    <n v="54694"/>
    <n v="110.5"/>
    <n v="102.52"/>
    <n v="20.5"/>
    <n v="43"/>
    <m/>
    <m/>
    <n v="2.9"/>
    <n v="39.757800000000003"/>
    <n v="-121.81610000000001"/>
  </r>
  <r>
    <n v="55"/>
    <s v="Fresno"/>
    <x v="1"/>
    <s v="West"/>
    <s v="Large"/>
    <n v="1008654"/>
    <n v="1747"/>
    <n v="1060"/>
    <n v="6.2E-2"/>
    <n v="51422"/>
    <n v="105.9"/>
    <n v="101.56"/>
    <n v="22.8"/>
    <n v="64"/>
    <n v="46.6"/>
    <n v="58.1"/>
    <n v="3.2"/>
    <n v="36.783000000000001"/>
    <n v="-119.79389999999999"/>
  </r>
  <r>
    <n v="260"/>
    <s v="Hanford"/>
    <x v="1"/>
    <s v="West"/>
    <s v="Small"/>
    <n v="152486"/>
    <n v="1735"/>
    <n v="1102"/>
    <n v="6.8000000000000005E-2"/>
    <n v="43176"/>
    <n v="105.4"/>
    <n v="98.58"/>
    <m/>
    <n v="67"/>
    <m/>
    <m/>
    <n v="3"/>
    <n v="36.327399999999997"/>
    <n v="-119.6549"/>
  </r>
  <r>
    <n v="1"/>
    <s v="Los Angeles"/>
    <x v="1"/>
    <s v="West"/>
    <s v="Large"/>
    <n v="13200998"/>
    <n v="2857"/>
    <n v="1925"/>
    <n v="3.9E-2"/>
    <n v="75821"/>
    <n v="140.6"/>
    <n v="113.82"/>
    <n v="30.7"/>
    <n v="70"/>
    <n v="68.599999999999994"/>
    <n v="58.7"/>
    <n v="6.2"/>
    <n v="34.114100000000001"/>
    <n v="-118.4068"/>
  </r>
  <r>
    <n v="255"/>
    <s v="Madera"/>
    <x v="1"/>
    <s v="West"/>
    <s v="Small"/>
    <n v="156255"/>
    <n v="1717"/>
    <n v="1048"/>
    <n v="0.06"/>
    <n v="45757"/>
    <n v="108.9"/>
    <n v="100.09"/>
    <n v="25.4"/>
    <n v="48"/>
    <m/>
    <m/>
    <n v="1.2"/>
    <n v="36.963000000000001"/>
    <n v="-120.0778"/>
  </r>
  <r>
    <n v="169"/>
    <s v="Merced"/>
    <x v="1"/>
    <s v="West"/>
    <s v="Mid-Sized"/>
    <n v="281202"/>
    <n v="1830"/>
    <n v="1093"/>
    <n v="7.400000000000001E-2"/>
    <n v="46580"/>
    <n v="108.2"/>
    <n v="100.3"/>
    <n v="27.8"/>
    <n v="53"/>
    <m/>
    <m/>
    <n v="2.4"/>
    <n v="37.305700000000002"/>
    <n v="-120.47790000000001"/>
  </r>
  <r>
    <n v="99"/>
    <s v="Modesto"/>
    <x v="1"/>
    <s v="West"/>
    <s v="Mid-Sized"/>
    <n v="552878"/>
    <n v="1867"/>
    <n v="1144"/>
    <n v="5.2999999999999999E-2"/>
    <n v="52356"/>
    <n v="112.3"/>
    <n v="102.98"/>
    <n v="28.8"/>
    <n v="48"/>
    <m/>
    <m/>
    <n v="3.6"/>
    <n v="37.637500000000003"/>
    <n v="-121.00279999999999"/>
  </r>
  <r>
    <n v="279"/>
    <s v="Napa"/>
    <x v="1"/>
    <s v="West"/>
    <s v="Small"/>
    <n v="138019"/>
    <n v="2833"/>
    <n v="1959"/>
    <n v="0.03"/>
    <n v="90608"/>
    <n v="149.6"/>
    <n v="112.07"/>
    <n v="23.7"/>
    <m/>
    <m/>
    <m/>
    <n v="3.3"/>
    <n v="38.297499999999999"/>
    <n v="-122.301"/>
  </r>
  <r>
    <n v="69"/>
    <s v="Oxnard"/>
    <x v="1"/>
    <s v="West"/>
    <s v="Mid-Sized"/>
    <n v="843843"/>
    <n v="2837"/>
    <n v="2189"/>
    <n v="3.2000000000000001E-2"/>
    <n v="73375"/>
    <m/>
    <n v="111.4"/>
    <n v="25.7"/>
    <n v="48"/>
    <m/>
    <m/>
    <n v="3.4"/>
    <n v="34.196399999999997"/>
    <n v="-119.1815"/>
  </r>
  <r>
    <n v="222"/>
    <s v="Redding"/>
    <x v="1"/>
    <s v="West"/>
    <s v="Small"/>
    <n v="182155"/>
    <n v="1445"/>
    <n v="1081"/>
    <n v="4.0999999999999995E-2"/>
    <n v="54972"/>
    <n v="108.7"/>
    <n v="99.4"/>
    <m/>
    <n v="44"/>
    <m/>
    <m/>
    <n v="1.8"/>
    <n v="40.569800000000001"/>
    <n v="-122.36499999999999"/>
  </r>
  <r>
    <n v="12"/>
    <s v="Riverside"/>
    <x v="1"/>
    <s v="West"/>
    <s v="Large"/>
    <n v="4599839"/>
    <n v="2399"/>
    <n v="1533"/>
    <n v="3.6000000000000004E-2"/>
    <n v="50384"/>
    <n v="116.1"/>
    <n v="105.53"/>
    <n v="32.9"/>
    <n v="84"/>
    <n v="42.7"/>
    <n v="48.9"/>
    <n v="3.8"/>
    <n v="33.938099999999999"/>
    <n v="-117.39490000000001"/>
  </r>
  <r>
    <n v="25"/>
    <s v="Sacramento"/>
    <x v="1"/>
    <s v="West"/>
    <s v="Large"/>
    <n v="2397382"/>
    <n v="2068"/>
    <n v="1518"/>
    <n v="3.3000000000000002E-2"/>
    <n v="65972"/>
    <n v="120.3"/>
    <n v="106.29"/>
    <n v="27.1"/>
    <n v="54"/>
    <n v="49"/>
    <n v="66.900000000000006"/>
    <n v="4"/>
    <n v="38.567700000000002"/>
    <n v="-121.46850000000001"/>
  </r>
  <r>
    <n v="119"/>
    <s v="Salinas"/>
    <x v="1"/>
    <s v="West"/>
    <s v="Mid-Sized"/>
    <n v="439035"/>
    <n v="2118"/>
    <n v="2324"/>
    <n v="6.9000000000000006E-2"/>
    <n v="63449"/>
    <n v="138.30000000000001"/>
    <n v="109.27"/>
    <n v="23"/>
    <n v="39"/>
    <m/>
    <m/>
    <n v="4.2"/>
    <n v="36.688299999999998"/>
    <n v="-121.6317"/>
  </r>
  <r>
    <n v="16"/>
    <s v="San Diego"/>
    <x v="1"/>
    <s v="West"/>
    <s v="Large"/>
    <n v="3298634"/>
    <n v="3016"/>
    <n v="2055"/>
    <n v="2.8999999999999998E-2"/>
    <n v="72637"/>
    <n v="136.19999999999999"/>
    <n v="115.15"/>
    <n v="26"/>
    <n v="49"/>
    <n v="53.3"/>
    <n v="43"/>
    <n v="5.3"/>
    <n v="32.831299999999999"/>
    <n v="-117.12220000000001"/>
  </r>
  <r>
    <n v="11"/>
    <s v="San Francisco"/>
    <x v="1"/>
    <s v="West"/>
    <s v="Large"/>
    <n v="4749008"/>
    <n v="3422"/>
    <n v="3000"/>
    <n v="2.4E-2"/>
    <n v="123711"/>
    <n v="178.6"/>
    <n v="119.83"/>
    <n v="33.6"/>
    <n v="44"/>
    <n v="88.7"/>
    <n v="72.3"/>
    <n v="6.8"/>
    <n v="37.755800000000001"/>
    <n v="-122.4449"/>
  </r>
  <r>
    <n v="34"/>
    <s v="San Jose"/>
    <x v="1"/>
    <s v="West"/>
    <s v="Large"/>
    <n v="2000468"/>
    <n v="3016"/>
    <n v="2763"/>
    <n v="2.1000000000000001E-2"/>
    <n v="136338"/>
    <n v="173.5"/>
    <n v="111.64"/>
    <n v="29"/>
    <n v="44"/>
    <n v="50.5"/>
    <n v="61.5"/>
    <n v="6.4"/>
    <n v="37.301200000000001"/>
    <n v="-121.848"/>
  </r>
  <r>
    <n v="168"/>
    <s v="San Luis Obispo"/>
    <x v="1"/>
    <s v="West"/>
    <s v="Mid-Sized"/>
    <n v="282424"/>
    <n v="2904"/>
    <n v="1688"/>
    <n v="2.4E-2"/>
    <n v="66617"/>
    <n v="136.1"/>
    <n v="108.56"/>
    <n v="23.1"/>
    <n v="55"/>
    <m/>
    <m/>
    <n v="2.6"/>
    <n v="35.2669"/>
    <n v="-120.669"/>
  </r>
  <r>
    <n v="175"/>
    <s v="Santa Cruz"/>
    <x v="1"/>
    <s v="West"/>
    <s v="Mid-Sized"/>
    <n v="270861"/>
    <n v="3350"/>
    <n v="2602"/>
    <n v="4.4999999999999998E-2"/>
    <n v="85554"/>
    <n v="163.9"/>
    <n v="109.08"/>
    <n v="26.8"/>
    <n v="35"/>
    <m/>
    <m/>
    <n v="4.8"/>
    <n v="36.978900000000003"/>
    <n v="-122.0346"/>
  </r>
  <r>
    <n v="118"/>
    <s v="Santa Maria"/>
    <x v="1"/>
    <s v="West"/>
    <s v="Mid-Sized"/>
    <n v="448229"/>
    <n v="2733"/>
    <n v="2490"/>
    <n v="3.1E-2"/>
    <n v="73995"/>
    <n v="143"/>
    <n v="111.81"/>
    <n v="19.600000000000001"/>
    <n v="43"/>
    <m/>
    <m/>
    <n v="4.3"/>
    <n v="34.933300000000003"/>
    <n v="-120.4431"/>
  </r>
  <r>
    <n v="109"/>
    <s v="Santa Rosa"/>
    <x v="1"/>
    <s v="West"/>
    <s v="Mid-Sized"/>
    <n v="488863"/>
    <n v="2440"/>
    <n v="1848"/>
    <n v="2.5000000000000001E-2"/>
    <n v="81006"/>
    <n v="141.69999999999999"/>
    <n v="109.81"/>
    <n v="25.1"/>
    <n v="32"/>
    <m/>
    <m/>
    <n v="3.4"/>
    <n v="38.445799999999998"/>
    <n v="-122.7067"/>
  </r>
  <r>
    <n v="74"/>
    <s v="Stockton"/>
    <x v="1"/>
    <s v="West"/>
    <s v="Mid-Sized"/>
    <n v="779233"/>
    <n v="1915"/>
    <n v="1257"/>
    <n v="5.2000000000000005E-2"/>
    <n v="57783"/>
    <n v="113.6"/>
    <n v="104.61"/>
    <n v="33.299999999999997"/>
    <n v="43"/>
    <n v="43.7"/>
    <n v="52.4"/>
    <n v="3"/>
    <n v="37.976500000000001"/>
    <n v="-121.3109"/>
  </r>
  <r>
    <n v="117"/>
    <s v="Vallejo"/>
    <x v="1"/>
    <s v="West"/>
    <s v="Mid-Sized"/>
    <n v="453491"/>
    <n v="2117"/>
    <n v="1776"/>
    <n v="3.7999999999999999E-2"/>
    <n v="65448"/>
    <n v="125.2"/>
    <n v="109.38"/>
    <n v="32.5"/>
    <n v="40"/>
    <m/>
    <m/>
    <n v="3.9"/>
    <n v="38.112499999999997"/>
    <n v="-122.2342"/>
  </r>
  <r>
    <n v="114"/>
    <s v="Visalia"/>
    <x v="1"/>
    <s v="West"/>
    <s v="Mid-Sized"/>
    <n v="473117"/>
    <n v="1748"/>
    <n v="907"/>
    <n v="8.199999999999999E-2"/>
    <n v="47986"/>
    <n v="103.6"/>
    <n v="98.98"/>
    <n v="22.4"/>
    <n v="67"/>
    <m/>
    <m/>
    <n v="4.0999999999999996"/>
    <n v="36.327599999999997"/>
    <n v="-119.32689999999999"/>
  </r>
  <r>
    <n v="226"/>
    <s v="Yuba City"/>
    <x v="1"/>
    <s v="West"/>
    <s v="Small"/>
    <n v="181208"/>
    <n v="1966"/>
    <n v="1078"/>
    <n v="6.3E-2"/>
    <n v="51174"/>
    <n v="108.7"/>
    <n v="101.54"/>
    <n v="29.1"/>
    <n v="46"/>
    <m/>
    <m/>
    <n v="2.5"/>
    <n v="39.1357"/>
    <n v="-121.6383"/>
  </r>
  <r>
    <n v="150"/>
    <s v="Boulder"/>
    <x v="2"/>
    <s v="West"/>
    <s v="Mid-Sized"/>
    <n v="330758"/>
    <n v="2492"/>
    <n v="1712"/>
    <n v="2.2000000000000002E-2"/>
    <n v="89593"/>
    <n v="118.7"/>
    <n v="101.32"/>
    <n v="22.1"/>
    <n v="48"/>
    <m/>
    <m/>
    <n v="5.0999999999999996"/>
    <n v="40.024799999999999"/>
    <n v="-105.25239999999999"/>
  </r>
  <r>
    <n v="77"/>
    <s v="Colorado Springs"/>
    <x v="2"/>
    <s v="West"/>
    <s v="Mid-Sized"/>
    <n v="755105"/>
    <n v="1784"/>
    <n v="1270"/>
    <n v="0.03"/>
    <n v="58736"/>
    <n v="102.2"/>
    <n v="96.84"/>
    <n v="22.8"/>
    <n v="48"/>
    <n v="36.1"/>
    <n v="44.7"/>
    <n v="2.2999999999999998"/>
    <n v="38.867400000000004"/>
    <n v="-104.76049999999999"/>
  </r>
  <r>
    <n v="18"/>
    <s v="Denver"/>
    <x v="2"/>
    <s v="West"/>
    <s v="Large"/>
    <n v="2963821"/>
    <n v="1956"/>
    <n v="1665"/>
    <n v="2.7999999999999997E-2"/>
    <n v="78150"/>
    <n v="112.1"/>
    <n v="109.16"/>
    <n v="27.3"/>
    <n v="61"/>
    <n v="61.2"/>
    <n v="71.8"/>
    <n v="5.3"/>
    <n v="39.762"/>
    <n v="-104.8758"/>
  </r>
  <r>
    <n v="146"/>
    <s v="Fort Collins"/>
    <x v="2"/>
    <s v="West"/>
    <s v="Mid-Sized"/>
    <n v="359066"/>
    <n v="1794"/>
    <n v="1332"/>
    <n v="2.4E-2"/>
    <n v="64258"/>
    <n v="109.2"/>
    <n v="97.98"/>
    <n v="22.9"/>
    <n v="51"/>
    <m/>
    <m/>
    <n v="3"/>
    <n v="40.547699999999999"/>
    <n v="-105.0656"/>
  </r>
  <r>
    <n v="257"/>
    <s v="Grand Junction"/>
    <x v="2"/>
    <s v="West"/>
    <s v="Small"/>
    <n v="155703"/>
    <n v="1506"/>
    <n v="861"/>
    <n v="3.1E-2"/>
    <n v="52121"/>
    <n v="98.1"/>
    <n v="92.47"/>
    <n v="18.100000000000001"/>
    <n v="45"/>
    <m/>
    <m/>
    <n v="2.2999999999999998"/>
    <n v="39.087699999999998"/>
    <n v="-108.5673"/>
  </r>
  <r>
    <n v="151"/>
    <s v="Greeley"/>
    <x v="2"/>
    <s v="West"/>
    <s v="Mid-Sized"/>
    <n v="328981"/>
    <n v="1405"/>
    <n v="1162"/>
    <n v="0.03"/>
    <n v="56553"/>
    <n v="106.1"/>
    <n v="95.55"/>
    <n v="27.5"/>
    <n v="51"/>
    <m/>
    <m/>
    <n v="1.4"/>
    <n v="40.415199999999999"/>
    <n v="-104.7706"/>
  </r>
  <r>
    <n v="244"/>
    <s v="Pueblo"/>
    <x v="2"/>
    <s v="West"/>
    <s v="Small"/>
    <n v="168162"/>
    <n v="1332"/>
    <n v="911"/>
    <n v="4.2999999999999997E-2"/>
    <n v="46927"/>
    <n v="92.2"/>
    <n v="90.92"/>
    <n v="21.4"/>
    <n v="19"/>
    <m/>
    <m/>
    <n v="2.2000000000000002"/>
    <n v="38.270099999999999"/>
    <n v="-104.6114"/>
  </r>
  <r>
    <n v="76"/>
    <s v="Cape Coral"/>
    <x v="3"/>
    <s v="South"/>
    <s v="Mid-Sized"/>
    <n v="760822"/>
    <n v="2356"/>
    <n v="1240"/>
    <n v="2.8999999999999998E-2"/>
    <n v="62885"/>
    <m/>
    <n v="99.97"/>
    <n v="27.1"/>
    <n v="41"/>
    <m/>
    <m/>
    <n v="2.2999999999999998"/>
    <n v="26.644300000000001"/>
    <n v="-81.995699999999999"/>
  </r>
  <r>
    <n v="166"/>
    <s v="Crestview"/>
    <x v="3"/>
    <s v="South"/>
    <s v="Mid-Sized"/>
    <n v="286973"/>
    <n v="1829"/>
    <n v="1220"/>
    <n v="1.9E-2"/>
    <n v="64660"/>
    <n v="104.7"/>
    <n v="96.9"/>
    <n v="24.1"/>
    <n v="39"/>
    <m/>
    <m/>
    <n v="0.9"/>
    <n v="30.747699999999998"/>
    <n v="-86.578500000000005"/>
  </r>
  <r>
    <n v="86"/>
    <s v="Deltona"/>
    <x v="3"/>
    <s v="South"/>
    <s v="Mid-Sized"/>
    <n v="668921"/>
    <n v="1863"/>
    <n v="1141"/>
    <n v="2.5000000000000001E-2"/>
    <n v="53559"/>
    <m/>
    <n v="97.84"/>
    <n v="26.6"/>
    <n v="43"/>
    <m/>
    <m/>
    <n v="2.4"/>
    <n v="28.905000000000001"/>
    <n v="-81.213700000000003"/>
  </r>
  <r>
    <n v="148"/>
    <s v="Gainesville"/>
    <x v="3"/>
    <s v="South"/>
    <s v="Mid-Sized"/>
    <n v="339247"/>
    <n v="1630"/>
    <n v="1007"/>
    <n v="0.02"/>
    <n v="50623"/>
    <n v="97.3"/>
    <n v="95.91"/>
    <n v="23.2"/>
    <n v="40"/>
    <m/>
    <m/>
    <n v="4"/>
    <n v="29.680399999999999"/>
    <n v="-82.3459"/>
  </r>
  <r>
    <n v="38"/>
    <s v="Jacksonville"/>
    <x v="3"/>
    <s v="South"/>
    <s v="Large"/>
    <n v="1605848"/>
    <n v="1657"/>
    <n v="1195"/>
    <n v="2.1000000000000001E-2"/>
    <n v="59271"/>
    <n v="99"/>
    <n v="98.73"/>
    <n v="27.5"/>
    <n v="46"/>
    <n v="25.6"/>
    <n v="40.5"/>
    <n v="2.6"/>
    <n v="30.3322"/>
    <n v="-81.674899999999994"/>
  </r>
  <r>
    <n v="79"/>
    <s v="Lakeland"/>
    <x v="3"/>
    <s v="South"/>
    <s v="Mid-Sized"/>
    <n v="725046"/>
    <n v="1674"/>
    <n v="1010"/>
    <n v="2.7000000000000003E-2"/>
    <n v="43556"/>
    <n v="96.4"/>
    <n v="96.17"/>
    <n v="25.7"/>
    <n v="41"/>
    <m/>
    <m/>
    <n v="1.6"/>
    <n v="28.055700000000002"/>
    <n v="-81.954499999999996"/>
  </r>
  <r>
    <n v="7"/>
    <s v="Miami"/>
    <x v="3"/>
    <s v="South"/>
    <s v="Large"/>
    <n v="6138333"/>
    <n v="3201"/>
    <n v="1670"/>
    <n v="1.9E-2"/>
    <n v="73522"/>
    <n v="110.1"/>
    <n v="109.92"/>
    <n v="29.6"/>
    <n v="45"/>
    <n v="76.599999999999994"/>
    <n v="64"/>
    <n v="5.2"/>
    <n v="25.783999999999999"/>
    <n v="-80.210099999999997"/>
  </r>
  <r>
    <n v="142"/>
    <s v="Naples"/>
    <x v="3"/>
    <s v="South"/>
    <s v="Mid-Sized"/>
    <n v="375752"/>
    <n v="3346"/>
    <n v="1577"/>
    <n v="2.2000000000000002E-2"/>
    <n v="117984"/>
    <n v="109.4"/>
    <n v="102.19"/>
    <n v="24.5"/>
    <n v="38"/>
    <m/>
    <m/>
    <n v="1.9"/>
    <n v="26.150400000000001"/>
    <n v="-81.793599999999998"/>
  </r>
  <r>
    <n v="70"/>
    <s v="North Port"/>
    <x v="3"/>
    <s v="South"/>
    <s v="Mid-Sized"/>
    <n v="833716"/>
    <n v="2174"/>
    <n v="1378"/>
    <n v="2.2000000000000002E-2"/>
    <n v="69376"/>
    <m/>
    <n v="99.31"/>
    <n v="25.9"/>
    <n v="43"/>
    <m/>
    <m/>
    <n v="3"/>
    <n v="27.057600000000001"/>
    <n v="-82.197699999999998"/>
  </r>
  <r>
    <n v="141"/>
    <s v="Ocala"/>
    <x v="3"/>
    <s v="South"/>
    <s v="Mid-Sized"/>
    <n v="375908"/>
    <n v="1602"/>
    <n v="983"/>
    <n v="2.7999999999999997E-2"/>
    <n v="45152"/>
    <n v="94.5"/>
    <n v="93.96"/>
    <n v="25"/>
    <n v="42"/>
    <m/>
    <m/>
    <n v="0.7"/>
    <n v="29.178000000000001"/>
    <n v="-82.1511"/>
  </r>
  <r>
    <n v="21"/>
    <s v="Orlando"/>
    <x v="3"/>
    <s v="South"/>
    <s v="Large"/>
    <n v="2673376"/>
    <n v="1974"/>
    <n v="1536"/>
    <n v="2.3E-2"/>
    <n v="53102"/>
    <n v="101.4"/>
    <n v="99.82"/>
    <n v="28.7"/>
    <n v="44"/>
    <n v="41.1"/>
    <n v="56.8"/>
    <n v="3.3"/>
    <n v="28.4773"/>
    <n v="-81.337000000000003"/>
  </r>
  <r>
    <n v="92"/>
    <s v="Palm Bay"/>
    <x v="3"/>
    <s v="South"/>
    <s v="Mid-Sized"/>
    <n v="606612"/>
    <n v="1874"/>
    <n v="1233"/>
    <n v="2.2000000000000002E-2"/>
    <n v="55477"/>
    <m/>
    <n v="98.96"/>
    <n v="24.9"/>
    <n v="42"/>
    <m/>
    <m/>
    <n v="1.9"/>
    <n v="27.963100000000001"/>
    <n v="-80.659300000000002"/>
  </r>
  <r>
    <n v="233"/>
    <s v="Panama City"/>
    <x v="3"/>
    <s v="South"/>
    <s v="Small"/>
    <n v="175216"/>
    <n v="1687"/>
    <n v="1216"/>
    <n v="2.1000000000000001E-2"/>
    <n v="53980"/>
    <n v="101.9"/>
    <n v="96.82"/>
    <n v="22.5"/>
    <n v="42"/>
    <m/>
    <m/>
    <n v="1.5"/>
    <n v="30.1995"/>
    <n v="-85.600300000000004"/>
  </r>
  <r>
    <n v="106"/>
    <s v="Pensacola"/>
    <x v="3"/>
    <s v="South"/>
    <s v="Mid-Sized"/>
    <n v="509905"/>
    <n v="1538"/>
    <n v="1077"/>
    <n v="2.3E-2"/>
    <n v="52548"/>
    <n v="97.9"/>
    <n v="95.82"/>
    <n v="24.5"/>
    <n v="45"/>
    <m/>
    <m/>
    <n v="1.6"/>
    <n v="30.441299999999998"/>
    <n v="-87.191100000000006"/>
  </r>
  <r>
    <n v="219"/>
    <s v="Punta Gorda"/>
    <x v="3"/>
    <s v="South"/>
    <s v="Small"/>
    <n v="186847"/>
    <n v="2898"/>
    <n v="1095"/>
    <n v="0.03"/>
    <n v="51677"/>
    <n v="100.3"/>
    <n v="96.3"/>
    <n v="24.2"/>
    <m/>
    <m/>
    <m/>
    <n v="0"/>
    <n v="26.894100000000002"/>
    <n v="-82.051299999999998"/>
  </r>
  <r>
    <n v="251"/>
    <s v="Sebastian"/>
    <x v="3"/>
    <s v="South"/>
    <s v="Small"/>
    <n v="159788"/>
    <n v="2375"/>
    <n v="1094"/>
    <n v="2.6000000000000002E-2"/>
    <n v="95109"/>
    <m/>
    <n v="98.16"/>
    <m/>
    <n v="34"/>
    <m/>
    <m/>
    <n v="0"/>
    <n v="27.7822"/>
    <n v="-80.481899999999996"/>
  </r>
  <r>
    <n v="320"/>
    <s v="Sebring"/>
    <x v="3"/>
    <s v="South"/>
    <s v="Small"/>
    <n v="101235"/>
    <n v="1313"/>
    <n v="830"/>
    <n v="3.6000000000000004E-2"/>
    <n v="41568"/>
    <n v="93.1"/>
    <n v="90.02"/>
    <m/>
    <n v="39"/>
    <m/>
    <m/>
    <n v="0.1"/>
    <n v="27.477"/>
    <n v="-81.453000000000003"/>
  </r>
  <r>
    <n v="139"/>
    <s v="Tallahassee"/>
    <x v="3"/>
    <s v="South"/>
    <s v="Mid-Sized"/>
    <n v="384298"/>
    <n v="1360"/>
    <n v="1086"/>
    <n v="2.2000000000000002E-2"/>
    <n v="52279"/>
    <n v="96.4"/>
    <n v="94.97"/>
    <n v="22.6"/>
    <n v="43"/>
    <m/>
    <m/>
    <n v="2.6"/>
    <n v="30.455100000000002"/>
    <n v="-84.252700000000004"/>
  </r>
  <r>
    <n v="17"/>
    <s v="Tampa"/>
    <x v="3"/>
    <s v="South"/>
    <s v="Large"/>
    <n v="3175275"/>
    <n v="2146"/>
    <n v="1488"/>
    <n v="2.2000000000000002E-2"/>
    <n v="58315"/>
    <n v="101.4"/>
    <n v="98.97"/>
    <n v="27.2"/>
    <n v="46"/>
    <n v="49.5"/>
    <n v="55.2"/>
    <n v="3.3"/>
    <n v="27.994499999999999"/>
    <n v="-82.444699999999997"/>
  </r>
  <r>
    <n v="291"/>
    <s v="The Villages"/>
    <x v="3"/>
    <s v="South"/>
    <s v="Small"/>
    <n v="129752"/>
    <n v="2190"/>
    <n v="896"/>
    <n v="3.4000000000000002E-2"/>
    <n v="64282"/>
    <n v="100.7"/>
    <n v="96.07"/>
    <m/>
    <m/>
    <m/>
    <m/>
    <n v="0"/>
    <n v="28.903400000000001"/>
    <n v="-81.988699999999994"/>
  </r>
  <r>
    <n v="266"/>
    <s v="Albany"/>
    <x v="4"/>
    <s v="South"/>
    <s v="Small"/>
    <n v="148922"/>
    <n v="859"/>
    <n v="800"/>
    <n v="3.5000000000000003E-2"/>
    <n v="45619"/>
    <n v="87.3"/>
    <n v="89.38"/>
    <m/>
    <n v="36"/>
    <m/>
    <m/>
    <n v="1.4"/>
    <n v="31.5776"/>
    <n v="-84.176199999999994"/>
  </r>
  <r>
    <n v="203"/>
    <s v="Athens"/>
    <x v="4"/>
    <s v="South"/>
    <s v="Small"/>
    <n v="215415"/>
    <n v="1878"/>
    <n v="946"/>
    <n v="2.4E-2"/>
    <n v="48323"/>
    <n v="95"/>
    <n v="94.41"/>
    <n v="22.7"/>
    <n v="44"/>
    <m/>
    <m/>
    <n v="2.2999999999999998"/>
    <n v="33.950800000000001"/>
    <n v="-83.368899999999996"/>
  </r>
  <r>
    <n v="8"/>
    <s v="Atlanta"/>
    <x v="4"/>
    <s v="South"/>
    <s v="Large"/>
    <n v="6089815"/>
    <n v="1991"/>
    <n v="1489"/>
    <n v="2.6000000000000002E-2"/>
    <n v="63219"/>
    <n v="100.3"/>
    <n v="99.12"/>
    <n v="32.1"/>
    <n v="48"/>
    <n v="47.7"/>
    <n v="41.7"/>
    <n v="2.5"/>
    <n v="33.762799999999999"/>
    <n v="-84.421999999999997"/>
  </r>
  <r>
    <n v="91"/>
    <s v="Augusta"/>
    <x v="4"/>
    <s v="South"/>
    <s v="Mid-Sized"/>
    <n v="611000"/>
    <n v="1280"/>
    <n v="958"/>
    <n v="3.2000000000000001E-2"/>
    <n v="49432"/>
    <n v="91.6"/>
    <n v="91.96"/>
    <n v="24"/>
    <n v="42"/>
    <m/>
    <m/>
    <n v="0.7"/>
    <n v="33.3645"/>
    <n v="-82.070800000000006"/>
  </r>
  <r>
    <n v="311"/>
    <s v="Brunswick"/>
    <x v="4"/>
    <s v="South"/>
    <s v="Small"/>
    <n v="113495"/>
    <n v="1531"/>
    <n v="875"/>
    <n v="2.6000000000000002E-2"/>
    <n v="51400"/>
    <n v="94.4"/>
    <n v="90.14"/>
    <m/>
    <n v="37"/>
    <m/>
    <m/>
    <n v="0"/>
    <n v="31.1449"/>
    <n v="-81.474599999999995"/>
  </r>
  <r>
    <n v="152"/>
    <s v="Columbus"/>
    <x v="4"/>
    <s v="South"/>
    <s v="Mid-Sized"/>
    <n v="328883"/>
    <n v="1150"/>
    <n v="884"/>
    <n v="3.3000000000000002E-2"/>
    <n v="47349"/>
    <n v="88.5"/>
    <n v="88.99"/>
    <n v="22.2"/>
    <n v="42"/>
    <m/>
    <m/>
    <n v="1.6"/>
    <n v="32.51"/>
    <n v="-84.877099999999999"/>
  </r>
  <r>
    <n v="213"/>
    <s v="Gainesville"/>
    <x v="4"/>
    <s v="South"/>
    <s v="Small"/>
    <n v="203136"/>
    <n v="1666"/>
    <n v="1128"/>
    <n v="2.1000000000000001E-2"/>
    <n v="53920"/>
    <n v="97"/>
    <n v="94.04"/>
    <m/>
    <n v="36"/>
    <m/>
    <m/>
    <n v="0.8"/>
    <n v="34.290199999999999"/>
    <n v="-83.829400000000007"/>
  </r>
  <r>
    <n v="337"/>
    <s v="Hinesville"/>
    <x v="4"/>
    <s v="South"/>
    <s v="Small"/>
    <n v="81424"/>
    <n v="1523"/>
    <n v="1025"/>
    <n v="2.7999999999999997E-2"/>
    <n v="41012"/>
    <n v="90.8"/>
    <n v="93.58"/>
    <m/>
    <m/>
    <m/>
    <m/>
    <n v="0"/>
    <n v="31.8248"/>
    <n v="-81.613699999999994"/>
  </r>
  <r>
    <n v="189"/>
    <s v="Macon"/>
    <x v="4"/>
    <s v="South"/>
    <s v="Small"/>
    <n v="233802"/>
    <n v="1122"/>
    <n v="907"/>
    <n v="0.03"/>
    <n v="46875"/>
    <n v="87.2"/>
    <n v="87.4"/>
    <n v="23.5"/>
    <n v="38"/>
    <m/>
    <m/>
    <n v="1.5"/>
    <n v="32.8065"/>
    <n v="-83.697400000000002"/>
  </r>
  <r>
    <n v="130"/>
    <s v="Savannah"/>
    <x v="4"/>
    <s v="South"/>
    <s v="Mid-Sized"/>
    <n v="404798"/>
    <n v="1744"/>
    <n v="1204"/>
    <n v="2.5000000000000001E-2"/>
    <n v="53570"/>
    <n v="97.3"/>
    <n v="95.42"/>
    <n v="24.3"/>
    <n v="39"/>
    <m/>
    <m/>
    <n v="2.5"/>
    <n v="32.028599999999997"/>
    <n v="-81.182100000000005"/>
  </r>
  <r>
    <n v="268"/>
    <s v="Valdosta"/>
    <x v="4"/>
    <s v="South"/>
    <s v="Small"/>
    <n v="148126"/>
    <n v="1384"/>
    <n v="725"/>
    <n v="2.7999999999999997E-2"/>
    <n v="42585"/>
    <n v="89.2"/>
    <n v="88.28"/>
    <n v="19.7"/>
    <n v="35"/>
    <m/>
    <m/>
    <n v="0"/>
    <n v="30.850200000000001"/>
    <n v="-83.278800000000004"/>
  </r>
  <r>
    <n v="217"/>
    <s v="Warner Robins"/>
    <x v="4"/>
    <s v="South"/>
    <s v="Small"/>
    <n v="191614"/>
    <n v="1319"/>
    <n v="998"/>
    <n v="2.7999999999999997E-2"/>
    <n v="48160"/>
    <n v="90.5"/>
    <n v="91.99"/>
    <n v="20.8"/>
    <n v="33"/>
    <m/>
    <m/>
    <n v="0"/>
    <n v="32.5961"/>
    <n v="-83.652699999999996"/>
  </r>
  <r>
    <n v="9"/>
    <s v="Boston"/>
    <x v="5"/>
    <s v="Northeast"/>
    <s v="Large"/>
    <n v="4941632"/>
    <n v="3419"/>
    <n v="2368"/>
    <n v="2.8999999999999998E-2"/>
    <n v="92290"/>
    <n v="132.6"/>
    <n v="109.69"/>
    <n v="31.2"/>
    <n v="44"/>
    <n v="82.8"/>
    <n v="69.400000000000006"/>
    <n v="5"/>
    <n v="42.318800000000003"/>
    <n v="-71.0852"/>
  </r>
  <r>
    <n v="293"/>
    <s v="Pittsfield"/>
    <x v="5"/>
    <s v="Northeast"/>
    <s v="Small"/>
    <n v="129026"/>
    <n v="1200"/>
    <n v="1161"/>
    <n v="0"/>
    <n v="65050"/>
    <n v="106.4"/>
    <n v="95.94"/>
    <n v="21"/>
    <n v="40"/>
    <m/>
    <m/>
    <n v="1.6"/>
    <n v="42.451700000000002"/>
    <n v="-73.260499999999993"/>
  </r>
  <r>
    <n v="82"/>
    <s v="Springfield"/>
    <x v="5"/>
    <s v="Northeast"/>
    <s v="Mid-Sized"/>
    <n v="699162"/>
    <n v="1488"/>
    <n v="1059"/>
    <n v="3.7000000000000005E-2"/>
    <n v="61523"/>
    <n v="106.5"/>
    <n v="97.79"/>
    <n v="22.9"/>
    <n v="41"/>
    <m/>
    <m/>
    <n v="4"/>
    <n v="42.115499999999997"/>
    <n v="-72.539500000000004"/>
  </r>
  <r>
    <n v="56"/>
    <s v="Worcester"/>
    <x v="5"/>
    <s v="Northeast"/>
    <s v="Mid-Sized"/>
    <n v="978529"/>
    <n v="1813"/>
    <n v="1361"/>
    <n v="3.3000000000000002E-2"/>
    <n v="64540"/>
    <n v="113.2"/>
    <n v="100"/>
    <n v="28.8"/>
    <n v="42"/>
    <m/>
    <m/>
    <n v="2.1"/>
    <n v="42.270499999999998"/>
    <n v="-71.807900000000004"/>
  </r>
  <r>
    <n v="0"/>
    <s v="New York"/>
    <x v="6"/>
    <s v="Northeast"/>
    <s v="Large"/>
    <n v="20140470"/>
    <n v="3272"/>
    <n v="2323"/>
    <n v="3.7999999999999999E-2"/>
    <n v="85136"/>
    <n v="128"/>
    <n v="114.58"/>
    <n v="36.700000000000003"/>
    <n v="50"/>
    <n v="88"/>
    <n v="69.3"/>
    <n v="6.9"/>
    <n v="40.694299999999998"/>
    <n v="-73.924899999999994"/>
  </r>
  <r>
    <n v="62"/>
    <s v="Albany"/>
    <x v="6"/>
    <s v="Northeast"/>
    <s v="Mid-Sized"/>
    <n v="899262"/>
    <n v="1475"/>
    <n v="1166"/>
    <n v="2.5000000000000001E-2"/>
    <n v="67788"/>
    <n v="100.1"/>
    <n v="99.16"/>
    <n v="23.4"/>
    <n v="39"/>
    <m/>
    <m/>
    <n v="3.6"/>
    <n v="42.666400000000003"/>
    <n v="-73.798699999999997"/>
  </r>
  <r>
    <n v="186"/>
    <s v="Binghamton"/>
    <x v="6"/>
    <s v="Northeast"/>
    <s v="Small"/>
    <n v="247138"/>
    <n v="1743"/>
    <n v="807"/>
    <n v="3.1E-2"/>
    <n v="51295"/>
    <n v="93.3"/>
    <n v="94.62"/>
    <n v="19.2"/>
    <m/>
    <m/>
    <m/>
    <n v="2.4"/>
    <n v="42.101399999999998"/>
    <n v="-75.909300000000002"/>
  </r>
  <r>
    <n v="48"/>
    <s v="Buffalo"/>
    <x v="6"/>
    <s v="Northeast"/>
    <s v="Large"/>
    <n v="1166902"/>
    <n v="1222"/>
    <n v="971"/>
    <n v="3.2000000000000001E-2"/>
    <n v="56808"/>
    <n v="97.3"/>
    <n v="95.11"/>
    <n v="21.7"/>
    <n v="40"/>
    <n v="66.599999999999994"/>
    <n v="62.8"/>
    <n v="3.9"/>
    <n v="42.901800000000001"/>
    <n v="-78.848699999999994"/>
  </r>
  <r>
    <n v="317"/>
    <s v="Ithaca"/>
    <x v="6"/>
    <s v="Northeast"/>
    <s v="Small"/>
    <n v="105740"/>
    <n v="1916"/>
    <n v="1406"/>
    <n v="2.4E-2"/>
    <n v="51377"/>
    <n v="101.7"/>
    <n v="102.35"/>
    <n v="17"/>
    <n v="39"/>
    <m/>
    <m/>
    <n v="3.3"/>
    <n v="42.444200000000002"/>
    <n v="-76.503200000000007"/>
  </r>
  <r>
    <n v="224"/>
    <s v="Kingston"/>
    <x v="6"/>
    <s v="Northeast"/>
    <s v="Small"/>
    <n v="181851"/>
    <n v="1662"/>
    <n v="1245"/>
    <n v="2.6000000000000002E-2"/>
    <n v="60557"/>
    <n v="106.1"/>
    <n v="100.09"/>
    <n v="28.8"/>
    <m/>
    <m/>
    <m/>
    <n v="0.9"/>
    <n v="41.929499999999997"/>
    <n v="-73.996799999999993"/>
  </r>
  <r>
    <n v="50"/>
    <s v="Rochester"/>
    <x v="6"/>
    <s v="Northeast"/>
    <s v="Large"/>
    <n v="1090135"/>
    <n v="1303"/>
    <n v="1009"/>
    <n v="2.8999999999999998E-2"/>
    <n v="58500"/>
    <n v="96.6"/>
    <n v="97.69"/>
    <n v="21.6"/>
    <n v="39"/>
    <n v="60.7"/>
    <n v="59.9"/>
    <n v="2.5"/>
    <n v="43.167999999999999"/>
    <n v="-77.616200000000006"/>
  </r>
  <r>
    <n v="87"/>
    <s v="Syracuse"/>
    <x v="6"/>
    <s v="Northeast"/>
    <s v="Mid-Sized"/>
    <n v="662057"/>
    <n v="1350"/>
    <n v="953"/>
    <n v="0.03"/>
    <n v="58137"/>
    <n v="95.1"/>
    <n v="96.49"/>
    <n v="21.3"/>
    <n v="37"/>
    <m/>
    <m/>
    <n v="2.5"/>
    <n v="43.040700000000001"/>
    <n v="-76.143699999999995"/>
  </r>
  <r>
    <n v="164"/>
    <s v="Utica"/>
    <x v="6"/>
    <s v="Northeast"/>
    <s v="Mid-Sized"/>
    <n v="292264"/>
    <n v="1450"/>
    <n v="811"/>
    <n v="3.3000000000000002E-2"/>
    <n v="52919"/>
    <n v="94.1"/>
    <n v="92.77"/>
    <n v="20.3"/>
    <n v="18"/>
    <m/>
    <m/>
    <n v="2"/>
    <n v="43.096200000000003"/>
    <n v="-75.226100000000002"/>
  </r>
  <r>
    <n v="309"/>
    <s v="Watertown"/>
    <x v="6"/>
    <s v="Northeast"/>
    <s v="Small"/>
    <n v="116721"/>
    <n v="1313"/>
    <n v="1013"/>
    <n v="3.9E-2"/>
    <n v="53130"/>
    <n v="96.4"/>
    <n v="93.96"/>
    <m/>
    <n v="34"/>
    <m/>
    <m/>
    <n v="0"/>
    <n v="43.973399999999998"/>
    <n v="-75.909400000000005"/>
  </r>
  <r>
    <n v="115"/>
    <s v="Asheville"/>
    <x v="7"/>
    <s v="South"/>
    <s v="Mid-Sized"/>
    <n v="469015"/>
    <n v="1811"/>
    <n v="1361"/>
    <n v="2.5000000000000001E-2"/>
    <n v="54827"/>
    <n v="103.3"/>
    <n v="94.7"/>
    <n v="21.6"/>
    <n v="43"/>
    <m/>
    <m/>
    <n v="1.1000000000000001"/>
    <n v="35.570700000000002"/>
    <n v="-82.553700000000006"/>
  </r>
  <r>
    <n v="238"/>
    <s v="Burlington"/>
    <x v="7"/>
    <s v="South"/>
    <s v="Small"/>
    <n v="171415"/>
    <n v="1470"/>
    <n v="888"/>
    <n v="3.2000000000000001E-2"/>
    <n v="48118"/>
    <n v="91.8"/>
    <n v="89.56"/>
    <n v="23.7"/>
    <m/>
    <m/>
    <m/>
    <n v="0.3"/>
    <n v="36.076000000000001"/>
    <n v="-79.468500000000006"/>
  </r>
  <r>
    <n v="22"/>
    <s v="Charlotte"/>
    <x v="7"/>
    <s v="South"/>
    <s v="Large"/>
    <n v="2660329"/>
    <n v="1767"/>
    <n v="1288"/>
    <n v="3.1E-2"/>
    <n v="62056"/>
    <n v="97.9"/>
    <n v="96.6"/>
    <n v="26.5"/>
    <n v="47"/>
    <n v="26.4"/>
    <n v="31.3"/>
    <n v="2.2000000000000002"/>
    <n v="35.208300000000001"/>
    <n v="-80.830299999999994"/>
  </r>
  <r>
    <n v="88"/>
    <s v="Durham"/>
    <x v="7"/>
    <s v="South"/>
    <s v="Mid-Sized"/>
    <n v="649903"/>
    <n v="1617"/>
    <n v="1224"/>
    <n v="2.6000000000000002E-2"/>
    <n v="63375"/>
    <n v="99.8"/>
    <n v="95.99"/>
    <n v="24.6"/>
    <n v="41"/>
    <n v="30.3"/>
    <n v="37.6"/>
    <n v="3.2"/>
    <n v="35.979199999999999"/>
    <n v="-78.902199999999993"/>
  </r>
  <r>
    <n v="104"/>
    <s v="Fayetteville"/>
    <x v="7"/>
    <s v="South"/>
    <s v="Mid-Sized"/>
    <n v="520378"/>
    <n v="1339"/>
    <n v="959"/>
    <n v="4.8000000000000001E-2"/>
    <n v="45542"/>
    <n v="89.5"/>
    <n v="91.68"/>
    <n v="22.6"/>
    <n v="41"/>
    <n v="21.4"/>
    <n v="29.7"/>
    <n v="1.8"/>
    <n v="35.085000000000001"/>
    <n v="-78.977199999999996"/>
  </r>
  <r>
    <n v="75"/>
    <s v="Greensboro"/>
    <x v="7"/>
    <s v="South"/>
    <s v="Mid-Sized"/>
    <n v="776566"/>
    <n v="1421"/>
    <n v="981"/>
    <n v="3.6000000000000004E-2"/>
    <n v="51872"/>
    <n v="91"/>
    <n v="92.82"/>
    <n v="22.1"/>
    <n v="43"/>
    <n v="29.4"/>
    <n v="32.200000000000003"/>
    <n v="1.8"/>
    <n v="36.095599999999997"/>
    <n v="-79.827100000000002"/>
  </r>
  <r>
    <n v="241"/>
    <s v="Greenville"/>
    <x v="7"/>
    <s v="South"/>
    <s v="Small"/>
    <n v="170243"/>
    <n v="1450"/>
    <n v="872"/>
    <n v="3.5000000000000003E-2"/>
    <n v="53200"/>
    <n v="89.8"/>
    <n v="89.62"/>
    <n v="20.7"/>
    <n v="37"/>
    <m/>
    <m/>
    <n v="1.3"/>
    <n v="35.594299999999997"/>
    <n v="-77.376000000000005"/>
  </r>
  <r>
    <n v="144"/>
    <s v="Hickory"/>
    <x v="7"/>
    <s v="South"/>
    <s v="Mid-Sized"/>
    <n v="365276"/>
    <n v="1435"/>
    <n v="692"/>
    <n v="2.8999999999999998E-2"/>
    <n v="48529"/>
    <n v="89.8"/>
    <n v="89.25"/>
    <n v="22.6"/>
    <n v="42"/>
    <m/>
    <m/>
    <n v="0.4"/>
    <n v="35.741"/>
    <n v="-81.322299999999998"/>
  </r>
  <r>
    <n v="211"/>
    <s v="Jacksonville"/>
    <x v="7"/>
    <s v="South"/>
    <s v="Small"/>
    <n v="204576"/>
    <n v="1203"/>
    <n v="850"/>
    <n v="3.7000000000000005E-2"/>
    <n v="50869"/>
    <n v="91.7"/>
    <n v="89.7"/>
    <n v="20.100000000000001"/>
    <m/>
    <m/>
    <m/>
    <n v="0.8"/>
    <n v="34.728900000000003"/>
    <n v="-77.394099999999995"/>
  </r>
  <r>
    <n v="302"/>
    <s v="New Bern"/>
    <x v="7"/>
    <s v="South"/>
    <s v="Small"/>
    <n v="122168"/>
    <n v="1493"/>
    <m/>
    <n v="3.2000000000000001E-2"/>
    <n v="53762"/>
    <n v="90.2"/>
    <n v="91.24"/>
    <n v="24.6"/>
    <m/>
    <m/>
    <m/>
    <n v="0.4"/>
    <n v="35.095500000000001"/>
    <n v="-77.072299999999998"/>
  </r>
  <r>
    <n v="41"/>
    <s v="Raleigh"/>
    <x v="7"/>
    <s v="South"/>
    <s v="Large"/>
    <n v="1413982"/>
    <n v="1640"/>
    <n v="1353"/>
    <n v="2.7000000000000003E-2"/>
    <n v="66428"/>
    <n v="99.7"/>
    <n v="97.58"/>
    <n v="25.9"/>
    <n v="43"/>
    <n v="31.3"/>
    <n v="39.299999999999997"/>
    <n v="2.2999999999999998"/>
    <n v="35.8324"/>
    <n v="-78.642899999999997"/>
  </r>
  <r>
    <n v="272"/>
    <s v="Rocky Mount"/>
    <x v="7"/>
    <s v="South"/>
    <s v="Small"/>
    <n v="143870"/>
    <n v="1301"/>
    <n v="777"/>
    <n v="5.2000000000000005E-2"/>
    <n v="48812"/>
    <n v="88.3"/>
    <n v="87.83"/>
    <n v="22.7"/>
    <n v="38"/>
    <m/>
    <m/>
    <n v="1"/>
    <n v="35.968499999999999"/>
    <n v="-77.804000000000002"/>
  </r>
  <r>
    <n v="229"/>
    <s v="Abilene"/>
    <x v="8"/>
    <s v="South"/>
    <s v="Small"/>
    <n v="176579"/>
    <n v="992"/>
    <n v="808"/>
    <n v="3.2000000000000001E-2"/>
    <n v="55556"/>
    <n v="89.1"/>
    <n v="92.03"/>
    <n v="19.100000000000001"/>
    <m/>
    <m/>
    <m/>
    <n v="1.6"/>
    <n v="32.454300000000003"/>
    <n v="-99.738399999999999"/>
  </r>
  <r>
    <n v="176"/>
    <s v="Amarillo"/>
    <x v="8"/>
    <s v="South"/>
    <s v="Mid-Sized"/>
    <n v="268691"/>
    <n v="1359"/>
    <n v="847"/>
    <n v="2.6000000000000002E-2"/>
    <n v="56248"/>
    <n v="88.2"/>
    <n v="93.79"/>
    <n v="19.100000000000001"/>
    <n v="47"/>
    <m/>
    <m/>
    <n v="1.8"/>
    <n v="35.198399999999999"/>
    <n v="-101.83159999999999"/>
  </r>
  <r>
    <n v="27"/>
    <s v="Austin"/>
    <x v="8"/>
    <s v="South"/>
    <s v="Large"/>
    <n v="2283371"/>
    <n v="1840"/>
    <n v="1483"/>
    <n v="2.7000000000000003E-2"/>
    <n v="71372"/>
    <n v="106.6"/>
    <n v="100.04"/>
    <n v="27.1"/>
    <n v="45"/>
    <n v="41.7"/>
    <n v="54"/>
    <n v="2.8"/>
    <n v="30.3005"/>
    <n v="-97.752200000000002"/>
  </r>
  <r>
    <n v="134"/>
    <s v="Beaumont"/>
    <x v="8"/>
    <s v="South"/>
    <s v="Mid-Sized"/>
    <n v="397565"/>
    <n v="1331"/>
    <n v="898"/>
    <n v="6.3E-2"/>
    <n v="49006"/>
    <n v="88.6"/>
    <n v="93.31"/>
    <n v="22.6"/>
    <n v="44"/>
    <m/>
    <m/>
    <n v="1.4"/>
    <n v="30.084900000000001"/>
    <n v="-94.145099999999999"/>
  </r>
  <r>
    <n v="125"/>
    <s v="Brownsville"/>
    <x v="8"/>
    <s v="South"/>
    <s v="Mid-Sized"/>
    <n v="421017"/>
    <n v="1330"/>
    <n v="745"/>
    <n v="5.7000000000000002E-2"/>
    <n v="37861"/>
    <n v="87.8"/>
    <n v="88.36"/>
    <n v="20.8"/>
    <n v="47"/>
    <m/>
    <m/>
    <n v="2"/>
    <n v="25.997499999999999"/>
    <n v="-97.457999999999998"/>
  </r>
  <r>
    <n v="179"/>
    <s v="College Station"/>
    <x v="8"/>
    <s v="South"/>
    <s v="Mid-Sized"/>
    <n v="268248"/>
    <n v="1793"/>
    <n v="953"/>
    <n v="2.7999999999999997E-2"/>
    <n v="47803"/>
    <n v="92.3"/>
    <n v="95.12"/>
    <n v="18.100000000000001"/>
    <n v="31"/>
    <m/>
    <m/>
    <n v="1.4"/>
    <n v="30.5852"/>
    <n v="-96.295900000000003"/>
  </r>
  <r>
    <n v="124"/>
    <s v="Corpus Christi"/>
    <x v="8"/>
    <s v="South"/>
    <s v="Mid-Sized"/>
    <n v="421933"/>
    <n v="1375"/>
    <n v="1104"/>
    <n v="4.4999999999999998E-2"/>
    <n v="52612"/>
    <n v="93.3"/>
    <n v="94.81"/>
    <n v="19.600000000000001"/>
    <n v="45"/>
    <n v="40.299999999999997"/>
    <n v="42.1"/>
    <n v="3.4"/>
    <n v="27.7254"/>
    <n v="-97.3767"/>
  </r>
  <r>
    <n v="3"/>
    <s v="Dallas"/>
    <x v="8"/>
    <s v="South"/>
    <s v="Large"/>
    <n v="7637387"/>
    <n v="1754"/>
    <n v="1440"/>
    <n v="3.2000000000000001E-2"/>
    <n v="66727"/>
    <n v="98.5"/>
    <n v="103.85"/>
    <n v="28.6"/>
    <n v="51"/>
    <n v="46"/>
    <n v="49.3"/>
    <n v="2.8"/>
    <n v="32.793500000000002"/>
    <n v="-96.7667"/>
  </r>
  <r>
    <n v="66"/>
    <s v="El Paso"/>
    <x v="8"/>
    <s v="South"/>
    <s v="Mid-Sized"/>
    <n v="868859"/>
    <n v="1467"/>
    <n v="884"/>
    <n v="0.04"/>
    <n v="44058"/>
    <n v="88.6"/>
    <n v="93.13"/>
    <n v="23.7"/>
    <n v="56"/>
    <n v="40.4"/>
    <n v="42"/>
    <n v="4.0999999999999996"/>
    <n v="31.8476"/>
    <n v="-106.43"/>
  </r>
  <r>
    <n v="4"/>
    <s v="Houston"/>
    <x v="8"/>
    <s v="South"/>
    <s v="Large"/>
    <n v="7122240"/>
    <n v="1620"/>
    <n v="1216"/>
    <n v="3.9E-2"/>
    <n v="64837"/>
    <n v="95.8"/>
    <n v="99.74"/>
    <n v="30"/>
    <n v="57"/>
    <n v="47.5"/>
    <n v="48.6"/>
    <n v="2.8"/>
    <n v="29.786000000000001"/>
    <n v="-95.388499999999993"/>
  </r>
  <r>
    <n v="113"/>
    <s v="Killeen"/>
    <x v="8"/>
    <s v="South"/>
    <s v="Mid-Sized"/>
    <n v="475367"/>
    <n v="1271"/>
    <n v="804"/>
    <n v="0.04"/>
    <n v="47755"/>
    <n v="88.6"/>
    <n v="93.56"/>
    <n v="20.2"/>
    <n v="44"/>
    <m/>
    <m/>
    <n v="1.6"/>
    <n v="31.075299999999999"/>
    <n v="-97.729699999999994"/>
  </r>
  <r>
    <n v="180"/>
    <s v="Laredo"/>
    <x v="8"/>
    <s v="South"/>
    <s v="Mid-Sized"/>
    <n v="267114"/>
    <n v="1283"/>
    <n v="841"/>
    <n v="3.7000000000000005E-2"/>
    <n v="40850"/>
    <n v="90.1"/>
    <n v="89.94"/>
    <n v="21.5"/>
    <n v="42"/>
    <n v="36.799999999999997"/>
    <n v="39.6"/>
    <n v="4.0999999999999996"/>
    <n v="27.5625"/>
    <n v="-99.487399999999994"/>
  </r>
  <r>
    <n v="167"/>
    <s v="Longview"/>
    <x v="8"/>
    <s v="South"/>
    <s v="Mid-Sized"/>
    <n v="286184"/>
    <n v="1286"/>
    <n v="901"/>
    <n v="0.04"/>
    <n v="48868"/>
    <n v="88.5"/>
    <n v="92.74"/>
    <m/>
    <n v="37"/>
    <m/>
    <m/>
    <n v="0.9"/>
    <n v="32.519300000000001"/>
    <n v="-94.762200000000007"/>
  </r>
  <r>
    <n v="156"/>
    <s v="Lubbock"/>
    <x v="8"/>
    <s v="South"/>
    <s v="Mid-Sized"/>
    <n v="321368"/>
    <n v="1306"/>
    <n v="889"/>
    <n v="2.8999999999999998E-2"/>
    <n v="51045"/>
    <n v="88.8"/>
    <n v="93.95"/>
    <n v="17.3"/>
    <n v="22"/>
    <n v="39"/>
    <n v="42.5"/>
    <n v="2.5"/>
    <n v="33.5657"/>
    <n v="-101.8879"/>
  </r>
  <r>
    <n v="64"/>
    <s v="McAllen"/>
    <x v="8"/>
    <s v="South"/>
    <s v="Mid-Sized"/>
    <n v="870781"/>
    <n v="1393"/>
    <n v="742"/>
    <n v="6.8000000000000005E-2"/>
    <n v="34503"/>
    <n v="86"/>
    <n v="87.76"/>
    <n v="21.6"/>
    <n v="45"/>
    <m/>
    <m/>
    <n v="1.1000000000000001"/>
    <n v="26.225200000000001"/>
    <n v="-98.246700000000004"/>
  </r>
  <r>
    <n v="232"/>
    <s v="Midland"/>
    <x v="8"/>
    <s v="South"/>
    <s v="Small"/>
    <n v="175220"/>
    <n v="1349"/>
    <n v="1233"/>
    <n v="2.6000000000000002E-2"/>
    <n v="125455"/>
    <n v="97.8"/>
    <n v="97.86"/>
    <n v="18.100000000000001"/>
    <m/>
    <m/>
    <m/>
    <n v="2.1"/>
    <n v="32.024299999999997"/>
    <n v="-102.1147"/>
  </r>
  <r>
    <n v="247"/>
    <s v="Odessa"/>
    <x v="8"/>
    <s v="South"/>
    <s v="Small"/>
    <n v="165171"/>
    <n v="1359"/>
    <n v="960"/>
    <n v="3.7999999999999999E-2"/>
    <n v="53610"/>
    <n v="92.7"/>
    <n v="96.52"/>
    <m/>
    <n v="31"/>
    <m/>
    <m/>
    <n v="1.9"/>
    <n v="31.880099999999999"/>
    <n v="-102.34480000000001"/>
  </r>
  <r>
    <n v="301"/>
    <s v="San Angelo"/>
    <x v="8"/>
    <s v="South"/>
    <s v="Small"/>
    <n v="122888"/>
    <n v="1301"/>
    <n v="903"/>
    <n v="0.03"/>
    <n v="60187"/>
    <n v="90.7"/>
    <n v="92.06"/>
    <m/>
    <m/>
    <m/>
    <m/>
    <n v="1.5"/>
    <n v="31.442399999999999"/>
    <n v="-100.4504"/>
  </r>
  <r>
    <n v="23"/>
    <s v="San Antonio"/>
    <x v="8"/>
    <s v="South"/>
    <s v="Large"/>
    <n v="2558143"/>
    <n v="1441"/>
    <n v="1138"/>
    <n v="3.3000000000000002E-2"/>
    <n v="53648"/>
    <n v="92.7"/>
    <n v="96.38"/>
    <n v="26.7"/>
    <n v="51"/>
    <n v="36.9"/>
    <n v="44.5"/>
    <n v="4.5"/>
    <n v="29.463200000000001"/>
    <n v="-98.523799999999994"/>
  </r>
  <r>
    <n v="283"/>
    <s v="Sherman"/>
    <x v="8"/>
    <s v="South"/>
    <s v="Small"/>
    <n v="135543"/>
    <n v="1536"/>
    <n v="951"/>
    <n v="3.2000000000000001E-2"/>
    <n v="52055"/>
    <n v="91.3"/>
    <n v="93.16"/>
    <m/>
    <m/>
    <m/>
    <m/>
    <n v="0.7"/>
    <n v="33.627299999999998"/>
    <n v="-96.622100000000003"/>
  </r>
  <r>
    <n v="269"/>
    <s v="Texarkana"/>
    <x v="8"/>
    <s v="South"/>
    <s v="Small"/>
    <n v="147519"/>
    <n v="1154"/>
    <m/>
    <n v="3.6000000000000004E-2"/>
    <n v="45058"/>
    <n v="86.3"/>
    <n v="88.39"/>
    <m/>
    <n v="42"/>
    <m/>
    <m/>
    <n v="1.1000000000000001"/>
    <n v="33.450000000000003"/>
    <n v="-94.084699999999998"/>
  </r>
  <r>
    <n v="190"/>
    <s v="Tyler"/>
    <x v="8"/>
    <s v="South"/>
    <s v="Small"/>
    <n v="233479"/>
    <n v="1493"/>
    <n v="987"/>
    <n v="3.3000000000000002E-2"/>
    <n v="60284"/>
    <n v="92.8"/>
    <n v="94.77"/>
    <n v="23.4"/>
    <n v="42"/>
    <m/>
    <m/>
    <n v="1.1000000000000001"/>
    <n v="32.318399999999997"/>
    <n v="-95.306200000000004"/>
  </r>
  <r>
    <n v="324"/>
    <s v="Victoria"/>
    <x v="8"/>
    <s v="South"/>
    <s v="Small"/>
    <n v="98331"/>
    <n v="1167"/>
    <n v="1002"/>
    <n v="3.7999999999999999E-2"/>
    <n v="58294"/>
    <n v="89.5"/>
    <n v="92.09"/>
    <m/>
    <n v="34"/>
    <m/>
    <m/>
    <n v="2.1"/>
    <n v="28.828700000000001"/>
    <n v="-96.984899999999996"/>
  </r>
  <r>
    <n v="170"/>
    <s v="Waco"/>
    <x v="8"/>
    <s v="South"/>
    <s v="Mid-Sized"/>
    <n v="277547"/>
    <n v="1538"/>
    <n v="840"/>
    <n v="3.2000000000000001E-2"/>
    <n v="49151"/>
    <n v="89.5"/>
    <n v="94.69"/>
    <n v="20.100000000000001"/>
    <n v="42"/>
    <m/>
    <m/>
    <n v="1.7"/>
    <n v="31.559899999999999"/>
    <n v="-97.188199999999995"/>
  </r>
  <r>
    <n v="267"/>
    <s v="Wichita Falls"/>
    <x v="8"/>
    <s v="South"/>
    <s v="Small"/>
    <n v="148128"/>
    <n v="1102"/>
    <n v="814"/>
    <n v="3.3000000000000002E-2"/>
    <n v="50905"/>
    <n v="85.7"/>
    <n v="91.13"/>
    <n v="16.399999999999999"/>
    <m/>
    <m/>
    <m/>
    <n v="1.7"/>
    <n v="33.907200000000003"/>
    <n v="-98.5291"/>
  </r>
  <r>
    <n v="193"/>
    <s v="Bellingham"/>
    <x v="9"/>
    <s v="West"/>
    <s v="Small"/>
    <n v="226847"/>
    <n v="1775"/>
    <n v="1169"/>
    <n v="0.05"/>
    <n v="58137"/>
    <n v="111.6"/>
    <n v="104.72"/>
    <n v="22.5"/>
    <n v="32"/>
    <m/>
    <m/>
    <n v="3.5"/>
    <n v="48.754800000000003"/>
    <n v="-122.46899999999999"/>
  </r>
  <r>
    <n v="173"/>
    <s v="Bremerton"/>
    <x v="9"/>
    <s v="West"/>
    <s v="Mid-Sized"/>
    <n v="275611"/>
    <n v="1821"/>
    <n v="1479"/>
    <n v="4.2999999999999997E-2"/>
    <n v="67845"/>
    <n v="115"/>
    <n v="103.69"/>
    <n v="30.8"/>
    <n v="19"/>
    <m/>
    <m/>
    <n v="2.7"/>
    <n v="47.543599999999998"/>
    <n v="-122.71210000000001"/>
  </r>
  <r>
    <n v="161"/>
    <s v="Kennewick"/>
    <x v="9"/>
    <s v="West"/>
    <s v="Mid-Sized"/>
    <n v="303622"/>
    <n v="1662"/>
    <n v="1012"/>
    <n v="6.2E-2"/>
    <n v="52082"/>
    <n v="99.7"/>
    <n v="100.51"/>
    <n v="22.3"/>
    <n v="34"/>
    <m/>
    <m/>
    <n v="3.9"/>
    <n v="46.197800000000001"/>
    <n v="-119.17319999999999"/>
  </r>
  <r>
    <n v="315"/>
    <s v="Longview"/>
    <x v="9"/>
    <s v="West"/>
    <s v="Small"/>
    <n v="110730"/>
    <n v="1775"/>
    <n v="943"/>
    <n v="5.7999999999999996E-2"/>
    <n v="54550"/>
    <n v="101.6"/>
    <n v="98.79"/>
    <m/>
    <n v="13"/>
    <m/>
    <m/>
    <n v="2"/>
    <n v="46.146099999999997"/>
    <n v="-122.96299999999999"/>
  </r>
  <r>
    <n v="292"/>
    <s v="Mount Vernon"/>
    <x v="9"/>
    <s v="West"/>
    <s v="Small"/>
    <n v="129523"/>
    <n v="1812"/>
    <n v="1189"/>
    <n v="5.5E-2"/>
    <n v="64093"/>
    <n v="110.1"/>
    <n v="100.39"/>
    <n v="26.3"/>
    <n v="31"/>
    <m/>
    <m/>
    <n v="2.8"/>
    <n v="48.420299999999997"/>
    <n v="-122.3115"/>
  </r>
  <r>
    <n v="162"/>
    <s v="Olympia"/>
    <x v="9"/>
    <s v="West"/>
    <s v="Mid-Sized"/>
    <n v="294793"/>
    <n v="1881"/>
    <n v="1329"/>
    <n v="4.7E-2"/>
    <n v="61062"/>
    <n v="110.9"/>
    <n v="103.59"/>
    <n v="24.6"/>
    <n v="22"/>
    <m/>
    <m/>
    <n v="3"/>
    <n v="47.041699999999999"/>
    <n v="-122.8959"/>
  </r>
  <r>
    <n v="14"/>
    <s v="Seattle"/>
    <x v="9"/>
    <s v="West"/>
    <s v="Large"/>
    <n v="4018762"/>
    <n v="2162"/>
    <n v="2011"/>
    <n v="3.4000000000000002E-2"/>
    <n v="89274"/>
    <n v="124.6"/>
    <n v="114.57"/>
    <n v="30.8"/>
    <n v="44"/>
    <n v="74.400000000000006"/>
    <n v="71.099999999999994"/>
    <n v="5.0999999999999996"/>
    <n v="47.621099999999998"/>
    <n v="-122.3244"/>
  </r>
  <r>
    <n v="95"/>
    <s v="Spokane"/>
    <x v="9"/>
    <s v="West"/>
    <s v="Mid-Sized"/>
    <n v="585784"/>
    <n v="1434"/>
    <n v="980"/>
    <n v="5.5E-2"/>
    <n v="53278"/>
    <n v="100.4"/>
    <n v="98.71"/>
    <n v="22.6"/>
    <n v="40"/>
    <n v="49.2"/>
    <n v="52.1"/>
    <n v="3.8"/>
    <n v="47.667099999999998"/>
    <n v="-117.43300000000001"/>
  </r>
  <r>
    <n v="342"/>
    <s v="Walla Walla"/>
    <x v="9"/>
    <s v="West"/>
    <s v="Small"/>
    <n v="62584"/>
    <n v="1734"/>
    <n v="1018"/>
    <n v="4.9000000000000002E-2"/>
    <n v="53845"/>
    <n v="100.9"/>
    <n v="99.17"/>
    <n v="17.899999999999999"/>
    <n v="37"/>
    <m/>
    <m/>
    <n v="2.8"/>
    <n v="46.067100000000003"/>
    <n v="-118.3368"/>
  </r>
  <r>
    <n v="303"/>
    <s v="Wenatchee"/>
    <x v="9"/>
    <s v="West"/>
    <s v="Small"/>
    <n v="122012"/>
    <n v="1643"/>
    <n v="1096"/>
    <n v="6.0999999999999999E-2"/>
    <n v="58009"/>
    <n v="106.6"/>
    <n v="103.11"/>
    <n v="18.2"/>
    <n v="18"/>
    <m/>
    <m/>
    <n v="3.2"/>
    <n v="47.436"/>
    <n v="-120.3295"/>
  </r>
  <r>
    <n v="184"/>
    <s v="Yakima"/>
    <x v="9"/>
    <s v="West"/>
    <s v="Mid-Sized"/>
    <n v="256728"/>
    <n v="1368"/>
    <n v="922"/>
    <n v="8.8000000000000009E-2"/>
    <n v="50872"/>
    <n v="97.5"/>
    <n v="97.72"/>
    <n v="18.7"/>
    <n v="29"/>
    <m/>
    <m/>
    <n v="2.2999999999999998"/>
    <n v="46.592300000000002"/>
    <n v="-120.5496"/>
  </r>
  <r>
    <m/>
    <m/>
    <x v="10"/>
    <m/>
    <m/>
    <m/>
    <m/>
    <m/>
    <m/>
    <m/>
    <m/>
    <m/>
    <m/>
    <m/>
    <m/>
    <m/>
    <m/>
    <m/>
    <m/>
  </r>
  <r>
    <m/>
    <m/>
    <x v="1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A94717-9E5C-4290-82D7-632F44B2CBF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2" firstHeaderRow="1"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Items count="1">
    <i/>
  </colItems>
  <dataFields count="1">
    <dataField name="CommuteTime     " fld="12" subtotal="average" baseField="2" baseItem="0" numFmtId="1"/>
  </dataFields>
  <chartFormats count="9">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5"/>
          </reference>
        </references>
      </pivotArea>
    </chartFormat>
    <chartFormat chart="1" format="7">
      <pivotArea type="data" outline="0" fieldPosition="0">
        <references count="2">
          <reference field="4294967294" count="1" selected="0">
            <x v="0"/>
          </reference>
          <reference field="2" count="1" selected="0">
            <x v="6"/>
          </reference>
        </references>
      </pivotArea>
    </chartFormat>
    <chartFormat chart="1" format="8">
      <pivotArea type="data" outline="0" fieldPosition="0">
        <references count="2">
          <reference field="4294967294" count="1" selected="0">
            <x v="0"/>
          </reference>
          <reference field="2" count="1" selected="0">
            <x v="4"/>
          </reference>
        </references>
      </pivotArea>
    </chartFormat>
    <chartFormat chart="1" format="9">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E82900-032E-4697-B788-B67AC70B2B0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12" firstHeaderRow="0"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Fields count="1">
    <field x="-2"/>
  </colFields>
  <colItems count="2">
    <i>
      <x/>
    </i>
    <i i="1">
      <x v="1"/>
    </i>
  </colItems>
  <dataFields count="2">
    <dataField name="Rent" fld="6" subtotal="average" baseField="2" baseItem="2" numFmtId="164"/>
    <dataField name="Income" fld="9" subtotal="average" baseField="2" baseItem="2" numFmtId="164"/>
  </dataFields>
  <chartFormats count="2">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D70B79-92EE-456B-9C1F-E765BE3496C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2" firstHeaderRow="1" firstDataRow="1" firstDataCol="1"/>
  <pivotFields count="19">
    <pivotField showAll="0"/>
    <pivotField showAll="0"/>
    <pivotField axis="axisRow" showAll="0" sortType="ascending">
      <items count="12">
        <item h="1" x="10"/>
        <item x="9"/>
        <item x="8"/>
        <item x="7"/>
        <item x="6"/>
        <item x="5"/>
        <item x="4"/>
        <item x="3"/>
        <item x="2"/>
        <item h="1" x="1"/>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9">
    <i>
      <x v="7"/>
    </i>
    <i>
      <x v="5"/>
    </i>
    <i>
      <x v="6"/>
    </i>
    <i>
      <x v="8"/>
    </i>
    <i>
      <x v="4"/>
    </i>
    <i>
      <x v="3"/>
    </i>
    <i>
      <x v="2"/>
    </i>
    <i>
      <x v="1"/>
    </i>
    <i t="grand">
      <x/>
    </i>
  </rowItems>
  <colItems count="1">
    <i/>
  </colItems>
  <dataFields count="1">
    <dataField name="Umemployment Rate     " fld="8" subtotal="average" baseField="2" baseItem="9" numFmtId="10"/>
  </dataFields>
  <chartFormats count="2">
    <chartFormat chart="1"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C1CD2A-B88F-4F4E-8FAC-D155619A179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2" firstHeaderRow="1" firstDataRow="1" firstDataCol="1"/>
  <pivotFields count="19">
    <pivotField showAll="0"/>
    <pivotField showAll="0"/>
    <pivotField axis="axisRow" showAll="0">
      <items count="12">
        <item h="1" x="0"/>
        <item h="1" x="1"/>
        <item x="2"/>
        <item x="3"/>
        <item x="4"/>
        <item x="5"/>
        <item x="6"/>
        <item x="7"/>
        <item x="8"/>
        <item x="9"/>
        <item h="1" x="1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2"/>
  </rowFields>
  <rowItems count="9">
    <i>
      <x v="2"/>
    </i>
    <i>
      <x v="3"/>
    </i>
    <i>
      <x v="4"/>
    </i>
    <i>
      <x v="5"/>
    </i>
    <i>
      <x v="6"/>
    </i>
    <i>
      <x v="7"/>
    </i>
    <i>
      <x v="8"/>
    </i>
    <i>
      <x v="9"/>
    </i>
    <i t="grand">
      <x/>
    </i>
  </rowItems>
  <colItems count="1">
    <i/>
  </colItems>
  <dataFields count="1">
    <dataField name=" CostOfLiving" fld="10" subtotal="average" baseField="9" baseItem="0" numFmtId="1"/>
  </dataFields>
  <chartFormats count="2">
    <chartFormat chart="1" format="3"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C054A7F5-8DDB-4053-BC21-5E0A53D796E3}" autoFormatId="16" applyNumberFormats="0" applyBorderFormats="0" applyFontFormats="0" applyPatternFormats="0" applyAlignmentFormats="0" applyWidthHeightFormats="0">
  <queryTableRefresh nextId="24">
    <queryTableFields count="19">
      <queryTableField id="1" name="Column1" tableColumnId="1"/>
      <queryTableField id="2" name="City" tableColumnId="2"/>
      <queryTableField id="3" name="State" tableColumnId="3"/>
      <queryTableField id="4" name="Region" tableColumnId="4"/>
      <queryTableField id="5" name="Size" tableColumnId="5"/>
      <queryTableField id="6" name="Population" tableColumnId="6"/>
      <queryTableField id="7" name="AvgRent" tableColumnId="7"/>
      <queryTableField id="8" name="MedianRent" tableColumnId="8"/>
      <queryTableField id="23" dataBound="0" tableColumnId="22"/>
      <queryTableField id="10" name="AvgIncome" tableColumnId="10"/>
      <queryTableField id="11" name="CostOfLiving" tableColumnId="11"/>
      <queryTableField id="12" name="PriceParity" tableColumnId="12"/>
      <queryTableField id="13" name="CommuteTime" tableColumnId="13"/>
      <queryTableField id="14" name="MedianAQI" tableColumnId="14"/>
      <queryTableField id="15" name="WalkScore" tableColumnId="15"/>
      <queryTableField id="16" name="BikeScore" tableColumnId="16"/>
      <queryTableField id="17" name="TransitScore" tableColumnId="17"/>
      <queryTableField id="18" name="Latitude" tableColumnId="18"/>
      <queryTableField id="19" name="Longitude" tableColumnId="19"/>
    </queryTableFields>
    <queryTableDeletedFields count="1">
      <deletedField name="UnempRat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AAC505A-1F2C-4C00-AE95-5FE8BF5D64C8}" autoFormatId="16" applyNumberFormats="0" applyBorderFormats="0" applyFontFormats="0" applyPatternFormats="0" applyAlignmentFormats="0" applyWidthHeightFormats="0">
  <queryTableRefresh nextId="9">
    <queryTableFields count="8">
      <queryTableField id="1" name="State" tableColumnId="1"/>
      <queryTableField id="2" name="Number of Schools (Public/Private)" tableColumnId="2"/>
      <queryTableField id="3" name="Acceptance Rate" tableColumnId="3"/>
      <queryTableField id="4" name="SAT Score" tableColumnId="4"/>
      <queryTableField id="5" name="Tuition (Residents)" tableColumnId="5"/>
      <queryTableField id="6" name="Student Population" tableColumnId="6"/>
      <queryTableField id="7" name="Graduation Rate" tableColumnId="7"/>
      <queryTableField id="8" name="Students to Faculty Ratio"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027FDE0F-32E1-4769-BDA1-DD41AE155CB7}" autoFormatId="16" applyNumberFormats="0" applyBorderFormats="0" applyFontFormats="0" applyPatternFormats="0" applyAlignmentFormats="0" applyWidthHeightFormats="0">
  <queryTableRefresh nextId="6">
    <queryTableFields count="2">
      <queryTableField id="1" name="Column1" tableColumnId="1"/>
      <queryTableField id="2" name="Column2" tableColumnId="2"/>
    </queryTableFields>
    <queryTableDeletedFields count="3">
      <deletedField name="Column3"/>
      <deletedField name="Column4"/>
      <deletedField name="Column5"/>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849D9F85-E135-4A22-B8BE-4903F6A62051}" autoFormatId="16" applyNumberFormats="0" applyBorderFormats="0" applyFontFormats="0" applyPatternFormats="0" applyAlignmentFormats="0" applyWidthHeightFormats="0">
  <queryTableRefresh nextId="12" unboundColumnsRight="1">
    <queryTableFields count="11">
      <queryTableField id="1" name="Column1" tableColumnId="1"/>
      <queryTableField id="2" name="state" tableColumnId="2"/>
      <queryTableField id="3" name="avg_hum_spr" tableColumnId="3"/>
      <queryTableField id="4" name="avg_hum_sum" tableColumnId="4"/>
      <queryTableField id="5" name="avg_hum_fall" tableColumnId="5"/>
      <queryTableField id="6" name="avg_hum_wint" tableColumnId="6"/>
      <queryTableField id="7" name="avg_temp_spr" tableColumnId="7"/>
      <queryTableField id="8" name="avg_temp_sum" tableColumnId="8"/>
      <queryTableField id="9" name="avg_temp_fall" tableColumnId="9"/>
      <queryTableField id="10" name="avg_temp_wint" tableColumnId="10"/>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265E5968-F12D-45B3-A440-D8C980643DC9}" sourceName="State">
  <pivotTables>
    <pivotTable tabId="35" name="PivotTable1"/>
    <pivotTable tabId="38" name="PivotTable2"/>
    <pivotTable tabId="36" name="PivotTable2"/>
    <pivotTable tabId="42" name="PivotTable1"/>
  </pivotTables>
  <data>
    <tabular pivotCacheId="1914522246">
      <items count="11">
        <i x="0"/>
        <i x="1"/>
        <i x="2" s="1"/>
        <i x="3" s="1"/>
        <i x="4" s="1"/>
        <i x="5" s="1"/>
        <i x="6" s="1"/>
        <i x="7" s="1"/>
        <i x="8" s="1"/>
        <i x="9" s="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67E7EBA5-9570-45D6-95F5-9D5B92561A1B}" cache="Slicer_State" caption="State" startItem="1"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87DE6F-7823-4CC0-AD34-5262ABC5EB1A}" name="Table76" displayName="Table76" ref="B37:C47" totalsRowShown="0" headerRowDxfId="26" dataDxfId="24" headerRowBorderDxfId="25" tableBorderDxfId="23" totalsRowBorderDxfId="22">
  <sortState xmlns:xlrd2="http://schemas.microsoft.com/office/spreadsheetml/2017/richdata2" ref="B38:C47">
    <sortCondition ref="B69:B79"/>
  </sortState>
  <tableColumns count="2">
    <tableColumn id="1" xr3:uid="{C0A85F30-C09D-4C9F-A111-904559463F26}" name="State" dataDxfId="21"/>
    <tableColumn id="2" xr3:uid="{A8ED8844-5536-4CA0-9007-62313FD8218F}" name="Humidity" dataDxfId="2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11BC77-432F-49F5-9B98-6F45E247AF09}" name="Table_Data_Set_for_Project" displayName="Table_Data_Set_for_Project" ref="A1:S345" tableType="queryTable" totalsRowShown="0">
  <autoFilter ref="A1:S345" xr:uid="{5611BC77-432F-49F5-9B98-6F45E247AF09}"/>
  <tableColumns count="19">
    <tableColumn id="1" xr3:uid="{C8215460-D884-4328-8000-BDAB7C76B565}" uniqueName="1" name="Column1" queryTableFieldId="1"/>
    <tableColumn id="2" xr3:uid="{73C76A30-2FF5-4E75-8382-C19CED5F7D19}" uniqueName="2" name="City" queryTableFieldId="2" dataDxfId="19"/>
    <tableColumn id="3" xr3:uid="{7F5EAD99-4C4B-44B8-A854-D1139257BFD1}" uniqueName="3" name="State" queryTableFieldId="3" dataDxfId="18"/>
    <tableColumn id="4" xr3:uid="{CA8780F7-8B4A-4004-A88C-07013A5E9A41}" uniqueName="4" name="Region" queryTableFieldId="4" dataDxfId="17"/>
    <tableColumn id="5" xr3:uid="{D72A4BF9-9CA3-4CA7-874B-FAC323C5A08F}" uniqueName="5" name="Size" queryTableFieldId="5" dataDxfId="16"/>
    <tableColumn id="6" xr3:uid="{06A9496F-891F-422C-AAE3-8245FBF7B7C4}" uniqueName="6" name="Population" queryTableFieldId="6"/>
    <tableColumn id="7" xr3:uid="{84E11F53-ABB9-4900-ABB6-EE1C7B615E53}" uniqueName="7" name="AvgRent" queryTableFieldId="7"/>
    <tableColumn id="8" xr3:uid="{452B3420-4177-46D6-8F00-EA527C8C3F25}" uniqueName="8" name="MedianRent" queryTableFieldId="8"/>
    <tableColumn id="22" xr3:uid="{5120823C-4D8F-46A3-9257-C02CA70156FD}" uniqueName="22" name="Umemployment Rate" queryTableFieldId="23"/>
    <tableColumn id="10" xr3:uid="{1EABBC09-FB1C-4FE0-A7AA-DD74E53D9A40}" uniqueName="10" name="AvgIncome" queryTableFieldId="10"/>
    <tableColumn id="11" xr3:uid="{430EFB90-553F-4F5E-A982-BEA8247E29CE}" uniqueName="11" name="CostOfLiving" queryTableFieldId="11"/>
    <tableColumn id="12" xr3:uid="{2AB1C636-DA6D-47B6-A32C-30B3B9B418F7}" uniqueName="12" name="PriceParity" queryTableFieldId="12"/>
    <tableColumn id="13" xr3:uid="{A087623B-AC9E-4268-8CEA-4583C417177B}" uniqueName="13" name="CommuteTime" queryTableFieldId="13"/>
    <tableColumn id="14" xr3:uid="{D958406D-1328-4F17-9D0E-C195F3A270B3}" uniqueName="14" name="MedianAQI" queryTableFieldId="14"/>
    <tableColumn id="15" xr3:uid="{ADF4EECF-63A9-4692-85A8-2AE82065B2D5}" uniqueName="15" name="WalkScore" queryTableFieldId="15"/>
    <tableColumn id="16" xr3:uid="{2B6CCDAE-7D25-4CD0-BCE7-076C00EA81AC}" uniqueName="16" name="BikeScore" queryTableFieldId="16"/>
    <tableColumn id="17" xr3:uid="{74796846-CC5D-4703-9D45-5CD7E76F1F89}" uniqueName="17" name="TransitScore" queryTableFieldId="17"/>
    <tableColumn id="18" xr3:uid="{45E23956-1B99-472A-9423-559C97B0BA0E}" uniqueName="18" name="Latitude" queryTableFieldId="18"/>
    <tableColumn id="19" xr3:uid="{B98BBED7-5F29-428B-9DAE-5490F88EE442}" uniqueName="19" name="Longitude" queryTableField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D40FF5-5879-49DB-AE7E-B01969E2CCC0}" name="Table_2023_College_Statistics_By_State" displayName="Table_2023_College_Statistics_By_State" ref="A1:H60" tableType="queryTable" totalsRowShown="0">
  <autoFilter ref="A1:H60" xr:uid="{970072B4-ED0B-44EE-91C4-D03F6ED6B2C9}"/>
  <tableColumns count="8">
    <tableColumn id="1" xr3:uid="{CB2B1C8B-409F-4466-84CE-73AF5250B661}" uniqueName="1" name="State" queryTableFieldId="1" dataDxfId="15"/>
    <tableColumn id="2" xr3:uid="{CD931BAF-47FC-46D2-8D44-A6AC9531E7CD}" uniqueName="2" name="Number of Schools (Public/Private)" queryTableFieldId="2" dataDxfId="14"/>
    <tableColumn id="3" xr3:uid="{240B736F-A72F-451B-B2AC-AF14BA5BE857}" uniqueName="3" name="Acceptance Rate" queryTableFieldId="3" dataDxfId="13"/>
    <tableColumn id="4" xr3:uid="{B307A9E2-E692-409A-AE13-3C1961899354}" uniqueName="4" name="SAT Score" queryTableFieldId="4" dataDxfId="12"/>
    <tableColumn id="5" xr3:uid="{53E3978C-0F33-4C65-A80B-877CA38767B0}" uniqueName="5" name="Tuition (Residents)" queryTableFieldId="5" dataDxfId="11"/>
    <tableColumn id="6" xr3:uid="{17A6CC48-A8ED-427D-BA7A-626274D400C5}" uniqueName="6" name="Student Population" queryTableFieldId="6"/>
    <tableColumn id="7" xr3:uid="{F9455707-677B-4C92-9C82-282A8E8C27CA}" uniqueName="7" name="Graduation Rate" queryTableFieldId="7"/>
    <tableColumn id="8" xr3:uid="{266D7D9A-4BBF-4480-884A-C392D9009468}" uniqueName="8" name="Students to Faculty Ratio" queryTableFieldId="8"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8DD63A-7E0C-440B-9670-F2DD88E8F463}" name="Table_Hospitals" displayName="Table_Hospitals" ref="A1:B52" tableType="queryTable" totalsRowShown="0">
  <autoFilter ref="A1:B52" xr:uid="{0A8DD63A-7E0C-440B-9670-F2DD88E8F463}"/>
  <tableColumns count="2">
    <tableColumn id="1" xr3:uid="{A88B85B4-C770-4F58-B1AF-721F3D7282C1}" uniqueName="1" name="Column1" queryTableFieldId="1" dataDxfId="9"/>
    <tableColumn id="2" xr3:uid="{C35CD840-5397-46A9-A673-DF42E7E547DD}"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E04DFC-A640-4F46-AEFE-14E039C31F5A}" name="Table_Weather_Data" displayName="Table_Weather_Data" ref="A1:K51" tableType="queryTable" totalsRowShown="0">
  <autoFilter ref="A1:K51" xr:uid="{2CE04DFC-A640-4F46-AEFE-14E039C31F5A}">
    <filterColumn colId="1">
      <filters>
        <filter val="Arizona"/>
        <filter val="California"/>
        <filter val="Colorado"/>
        <filter val="Florida"/>
        <filter val="Georgia"/>
        <filter val="Massachusetts"/>
        <filter val="New_York"/>
        <filter val="North_Carolina"/>
        <filter val="Texas"/>
        <filter val="Washington"/>
      </filters>
    </filterColumn>
  </autoFilter>
  <tableColumns count="11">
    <tableColumn id="1" xr3:uid="{15204DD2-67C4-4E3E-AE02-14A54439BF4B}" uniqueName="1" name="Column1" queryTableFieldId="1"/>
    <tableColumn id="2" xr3:uid="{FDC9F8CC-3D50-494B-ADA4-E07F4926F3AA}" uniqueName="2" name="state" queryTableFieldId="2" dataDxfId="8"/>
    <tableColumn id="3" xr3:uid="{8A7C9C83-31A1-4CF2-8CDB-1DEC1E6C4E69}" uniqueName="3" name="avg_hum_spr" queryTableFieldId="3"/>
    <tableColumn id="4" xr3:uid="{B883081E-CCC9-4694-B9BA-E22D16E48542}" uniqueName="4" name="avg_hum_sum" queryTableFieldId="4"/>
    <tableColumn id="5" xr3:uid="{3F2DACEB-C0D4-4D0B-86F1-6EB7CA30C7D3}" uniqueName="5" name="avg_hum_fall" queryTableFieldId="5"/>
    <tableColumn id="6" xr3:uid="{D675B2B7-209C-491F-AD75-23D7282ED1BC}" uniqueName="6" name="avg_hum_wint" queryTableFieldId="6"/>
    <tableColumn id="7" xr3:uid="{8BF0BD8A-CD17-458A-BE45-4D7FC29ED224}" uniqueName="7" name="avg_temp_spr" queryTableFieldId="7"/>
    <tableColumn id="8" xr3:uid="{D5FB0DF4-B12C-4F27-8BEA-965CDDF5A6EB}" uniqueName="8" name="avg_temp_sum" queryTableFieldId="8"/>
    <tableColumn id="9" xr3:uid="{1559C9CE-44DB-4E12-9FB2-535CBB6A01A6}" uniqueName="9" name="avg_temp_fall" queryTableFieldId="9"/>
    <tableColumn id="10" xr3:uid="{FC9E17C6-CC1E-4051-A18A-8A5A434EF891}" uniqueName="10" name="avg_temp_wint" queryTableFieldId="10"/>
    <tableColumn id="11" xr3:uid="{C6AF4497-B694-47E5-93E3-6E2830B618E7}" uniqueName="11" name="Column2" queryTableFieldId="11" dataDxfId="7">
      <calculatedColumnFormula>AVERAGE(Table_Weather_Data[[#This Row],[avg_temp_spr]:[avg_temp_wint]])</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917917-8030-492C-B683-C34015173D80}" name="Table7" displayName="Table7" ref="B54:C64" totalsRowShown="0" headerRowDxfId="6" dataDxfId="4" headerRowBorderDxfId="5" tableBorderDxfId="3" totalsRowBorderDxfId="2">
  <sortState xmlns:xlrd2="http://schemas.microsoft.com/office/spreadsheetml/2017/richdata2" ref="B55:C64">
    <sortCondition ref="B54:B64"/>
  </sortState>
  <tableColumns count="2">
    <tableColumn id="1" xr3:uid="{0B4B0947-15D7-46EB-8132-B59559D327E1}" name="State" dataDxfId="1"/>
    <tableColumn id="2" xr3:uid="{5E191E68-C37B-4DD3-96C1-3509CBAD491D}" name="Humidity" dataDxfId="0"/>
  </tableColumns>
  <tableStyleInfo name="TableStyleLight3"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definitivehc.com/resources/healthcare-insights/hospitals-in-each-state" TargetMode="External"/><Relationship Id="rId7" Type="http://schemas.openxmlformats.org/officeDocument/2006/relationships/image" Target="../media/image1.jpeg"/><Relationship Id="rId2" Type="http://schemas.openxmlformats.org/officeDocument/2006/relationships/hyperlink" Target="https://www.univstats.com/states/" TargetMode="External"/><Relationship Id="rId1" Type="http://schemas.openxmlformats.org/officeDocument/2006/relationships/hyperlink" Target="https://www.kaggle.com/code/denissad/notebook5966392792"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hyperlink" Target="https://www.kaggle.com/datasets/jmcslk/2018-quarterly-us-weather-data-by-state"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image" Target="../media/image3.jpeg"/><Relationship Id="rId7"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B4A69-F1D6-4BD6-9696-573277F8B088}">
  <sheetPr codeName="Sheet6">
    <tabColor rgb="FFFF0000"/>
  </sheetPr>
  <dimension ref="A1"/>
  <sheetViews>
    <sheetView topLeftCell="A3" zoomScale="90" zoomScaleNormal="90" workbookViewId="0">
      <selection activeCell="U32" sqref="U32"/>
    </sheetView>
  </sheetViews>
  <sheetFormatPr baseColWidth="10" defaultColWidth="8.83203125" defaultRowHeight="14" x14ac:dyDescent="0.15"/>
  <cols>
    <col min="1" max="16384" width="8.83203125" style="28"/>
  </cols>
  <sheetData/>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11</xdr:col>
                    <xdr:colOff>482600</xdr:colOff>
                    <xdr:row>27</xdr:row>
                    <xdr:rowOff>152400</xdr:rowOff>
                  </from>
                  <to>
                    <xdr:col>13</xdr:col>
                    <xdr:colOff>482600</xdr:colOff>
                    <xdr:row>29</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AC8C4-E59A-494C-8103-C2F1E4A53CC5}">
  <sheetPr codeName="Sheet5">
    <tabColor rgb="FFFFC000"/>
  </sheetPr>
  <dimension ref="A2:C21"/>
  <sheetViews>
    <sheetView showGridLines="0" topLeftCell="A3" workbookViewId="0">
      <selection activeCell="E20" sqref="E20"/>
    </sheetView>
  </sheetViews>
  <sheetFormatPr baseColWidth="10" defaultColWidth="8.83203125" defaultRowHeight="14" x14ac:dyDescent="0.15"/>
  <cols>
    <col min="1" max="1" width="4.5" customWidth="1"/>
    <col min="2" max="2" width="29.5" customWidth="1"/>
    <col min="3" max="3" width="71.1640625" customWidth="1"/>
    <col min="4" max="4" width="14.33203125" customWidth="1"/>
  </cols>
  <sheetData>
    <row r="2" spans="1:3" ht="18" x14ac:dyDescent="0.2">
      <c r="A2" s="27"/>
      <c r="B2" s="64" t="s">
        <v>413</v>
      </c>
      <c r="C2" s="64"/>
    </row>
    <row r="3" spans="1:3" ht="18" x14ac:dyDescent="0.2">
      <c r="B3" s="29"/>
      <c r="C3" s="29"/>
    </row>
    <row r="4" spans="1:3" ht="20.5" customHeight="1" x14ac:dyDescent="0.15">
      <c r="A4" s="30">
        <v>1</v>
      </c>
      <c r="B4" s="31" t="s">
        <v>414</v>
      </c>
      <c r="C4" s="31" t="s">
        <v>417</v>
      </c>
    </row>
    <row r="5" spans="1:3" ht="23" customHeight="1" x14ac:dyDescent="0.15">
      <c r="A5" s="30"/>
      <c r="B5" s="31" t="s">
        <v>415</v>
      </c>
      <c r="C5" s="32" t="s">
        <v>421</v>
      </c>
    </row>
    <row r="6" spans="1:3" ht="35.5" customHeight="1" x14ac:dyDescent="0.15">
      <c r="A6" s="30"/>
      <c r="B6" s="31" t="s">
        <v>416</v>
      </c>
      <c r="C6" s="33" t="s">
        <v>418</v>
      </c>
    </row>
    <row r="7" spans="1:3" ht="6" customHeight="1" x14ac:dyDescent="0.15">
      <c r="A7" s="30"/>
      <c r="B7" s="31"/>
      <c r="C7" s="31"/>
    </row>
    <row r="8" spans="1:3" ht="11" customHeight="1" x14ac:dyDescent="0.15">
      <c r="A8" s="30"/>
      <c r="B8" s="31"/>
      <c r="C8" s="31"/>
    </row>
    <row r="9" spans="1:3" ht="16" x14ac:dyDescent="0.15">
      <c r="A9" s="30">
        <v>2</v>
      </c>
      <c r="B9" s="31" t="s">
        <v>414</v>
      </c>
      <c r="C9" s="31" t="s">
        <v>419</v>
      </c>
    </row>
    <row r="10" spans="1:3" ht="16" x14ac:dyDescent="0.15">
      <c r="A10" s="30"/>
      <c r="B10" s="31" t="s">
        <v>415</v>
      </c>
      <c r="C10" s="32" t="s">
        <v>420</v>
      </c>
    </row>
    <row r="11" spans="1:3" ht="16" x14ac:dyDescent="0.15">
      <c r="A11" s="30"/>
      <c r="B11" s="31" t="s">
        <v>416</v>
      </c>
      <c r="C11" s="31" t="s">
        <v>708</v>
      </c>
    </row>
    <row r="12" spans="1:3" ht="8" customHeight="1" x14ac:dyDescent="0.15">
      <c r="A12" s="30"/>
      <c r="B12" s="31"/>
      <c r="C12" s="31"/>
    </row>
    <row r="13" spans="1:3" ht="13.25" customHeight="1" x14ac:dyDescent="0.15">
      <c r="A13" s="30"/>
      <c r="B13" s="31"/>
      <c r="C13" s="31"/>
    </row>
    <row r="14" spans="1:3" ht="16" x14ac:dyDescent="0.15">
      <c r="A14" s="30">
        <v>3</v>
      </c>
      <c r="B14" s="31" t="s">
        <v>414</v>
      </c>
      <c r="C14" s="31" t="s">
        <v>709</v>
      </c>
    </row>
    <row r="15" spans="1:3" ht="16" x14ac:dyDescent="0.15">
      <c r="A15" s="30"/>
      <c r="B15" s="31" t="s">
        <v>415</v>
      </c>
      <c r="C15" s="32" t="s">
        <v>710</v>
      </c>
    </row>
    <row r="16" spans="1:3" ht="16" x14ac:dyDescent="0.15">
      <c r="A16" s="30"/>
      <c r="B16" s="31" t="s">
        <v>416</v>
      </c>
      <c r="C16" s="31" t="s">
        <v>711</v>
      </c>
    </row>
    <row r="17" spans="1:3" ht="16" x14ac:dyDescent="0.15">
      <c r="A17" s="30"/>
      <c r="B17" s="31"/>
      <c r="C17" s="31"/>
    </row>
    <row r="18" spans="1:3" ht="16" x14ac:dyDescent="0.15">
      <c r="A18" s="30"/>
      <c r="B18" s="31"/>
      <c r="C18" s="31"/>
    </row>
    <row r="19" spans="1:3" ht="16" x14ac:dyDescent="0.15">
      <c r="A19" s="30">
        <v>4</v>
      </c>
      <c r="B19" s="31" t="s">
        <v>414</v>
      </c>
      <c r="C19" s="31" t="s">
        <v>417</v>
      </c>
    </row>
    <row r="20" spans="1:3" ht="16" x14ac:dyDescent="0.15">
      <c r="A20" s="30"/>
      <c r="B20" s="31" t="s">
        <v>415</v>
      </c>
      <c r="C20" s="32" t="s">
        <v>712</v>
      </c>
    </row>
    <row r="21" spans="1:3" ht="17" x14ac:dyDescent="0.15">
      <c r="B21" s="31" t="s">
        <v>416</v>
      </c>
      <c r="C21" s="33" t="s">
        <v>713</v>
      </c>
    </row>
  </sheetData>
  <mergeCells count="1">
    <mergeCell ref="B2:C2"/>
  </mergeCells>
  <hyperlinks>
    <hyperlink ref="C5" r:id="rId1" xr:uid="{1BFDE7A3-ECBB-4C8D-BAF4-F9D7C83B4FEE}"/>
    <hyperlink ref="C10" r:id="rId2" display="https://www.univstats.com/states/" xr:uid="{23D1C587-B04F-4F24-A90C-181EDEC71E83}"/>
    <hyperlink ref="C15" r:id="rId3" display="https://www.definitivehc.com/resources/healthcare-insights/hospitals-in-each-state" xr:uid="{C00E63F2-8CE0-449B-8D73-01639DF848E5}"/>
    <hyperlink ref="C20" r:id="rId4" display="https://www.kaggle.com/datasets/jmcslk/2018-quarterly-us-weather-data-by-state" xr:uid="{B9CB5309-5215-44DA-B125-D08DBF6696BA}"/>
  </hyperlinks>
  <pageMargins left="0.7" right="0.7" top="0.75" bottom="0.75" header="0.3" footer="0.3"/>
  <drawing r:id="rId5"/>
  <legacyDrawing r:id="rId6"/>
  <picture r:id="rId7"/>
  <mc:AlternateContent xmlns:mc="http://schemas.openxmlformats.org/markup-compatibility/2006">
    <mc:Choice Requires="x14">
      <controls>
        <mc:AlternateContent xmlns:mc="http://schemas.openxmlformats.org/markup-compatibility/2006">
          <mc:Choice Requires="x14">
            <control shapeId="29697" r:id="rId8" name="Button 1">
              <controlPr defaultSize="0" print="0" autoFill="0" autoPict="0" macro="[0]!Macro2">
                <anchor moveWithCells="1" sizeWithCells="1">
                  <from>
                    <xdr:col>2</xdr:col>
                    <xdr:colOff>2730500</xdr:colOff>
                    <xdr:row>21</xdr:row>
                    <xdr:rowOff>38100</xdr:rowOff>
                  </from>
                  <to>
                    <xdr:col>3</xdr:col>
                    <xdr:colOff>279400</xdr:colOff>
                    <xdr:row>22</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71509-F463-4EEF-832A-0E580A284A4D}">
  <sheetPr codeName="Sheet7">
    <tabColor rgb="FF00B050"/>
  </sheetPr>
  <dimension ref="A1:Y47"/>
  <sheetViews>
    <sheetView zoomScale="40" zoomScaleNormal="40" workbookViewId="0">
      <selection activeCell="X4" sqref="X4:Y38"/>
    </sheetView>
  </sheetViews>
  <sheetFormatPr baseColWidth="10" defaultColWidth="8.83203125" defaultRowHeight="14" x14ac:dyDescent="0.15"/>
  <cols>
    <col min="1" max="1" width="7.1640625" style="11" customWidth="1"/>
    <col min="2" max="2" width="39.6640625" style="11" customWidth="1"/>
    <col min="3" max="3" width="20.6640625" style="11" customWidth="1"/>
    <col min="4" max="4" width="19.83203125" style="11" customWidth="1"/>
    <col min="5" max="5" width="15.83203125" style="11" customWidth="1"/>
    <col min="6" max="13" width="8.83203125" style="11"/>
    <col min="14" max="15" width="16.5" style="11" customWidth="1"/>
    <col min="16" max="16" width="13.1640625" style="11" customWidth="1"/>
    <col min="17" max="17" width="17.5" style="11" customWidth="1"/>
    <col min="18" max="19" width="8.83203125" style="11"/>
    <col min="20" max="20" width="8.83203125" style="11" customWidth="1"/>
    <col min="21" max="21" width="20" style="11" customWidth="1"/>
    <col min="22" max="23" width="8.83203125" style="11"/>
    <col min="24" max="24" width="17.33203125" style="11" bestFit="1" customWidth="1"/>
    <col min="25" max="25" width="20.1640625" style="11" bestFit="1" customWidth="1"/>
    <col min="26" max="16384" width="8.83203125" style="11"/>
  </cols>
  <sheetData>
    <row r="1" spans="1:25" ht="38" customHeight="1" x14ac:dyDescent="0.15">
      <c r="A1" s="65" t="s">
        <v>731</v>
      </c>
      <c r="B1" s="65"/>
      <c r="C1" s="65"/>
      <c r="D1" s="65"/>
      <c r="E1" s="65"/>
      <c r="F1" s="65"/>
      <c r="G1" s="65"/>
      <c r="H1" s="65"/>
      <c r="I1" s="65"/>
      <c r="J1" s="65"/>
      <c r="K1" s="65"/>
      <c r="L1" s="65"/>
      <c r="M1" s="65"/>
      <c r="N1" s="65"/>
      <c r="O1" s="65"/>
      <c r="P1" s="65"/>
      <c r="Q1" s="65"/>
      <c r="R1" s="65"/>
      <c r="S1" s="65"/>
      <c r="T1" s="65"/>
      <c r="U1" s="65"/>
      <c r="V1" s="65"/>
      <c r="W1" s="65"/>
    </row>
    <row r="4" spans="1:25" ht="19" x14ac:dyDescent="0.15">
      <c r="X4" s="40" t="s">
        <v>2</v>
      </c>
      <c r="Y4" s="40" t="s">
        <v>13</v>
      </c>
    </row>
    <row r="5" spans="1:25" ht="20" thickBot="1" x14ac:dyDescent="0.2">
      <c r="X5" s="41" t="s">
        <v>721</v>
      </c>
      <c r="Y5" s="42">
        <v>42.3</v>
      </c>
    </row>
    <row r="6" spans="1:25" ht="23" x14ac:dyDescent="0.25">
      <c r="B6" s="49" t="s">
        <v>741</v>
      </c>
      <c r="X6" s="41" t="s">
        <v>722</v>
      </c>
      <c r="Y6" s="42">
        <v>53.377777777777773</v>
      </c>
    </row>
    <row r="7" spans="1:25" ht="28.5" customHeight="1" thickBot="1" x14ac:dyDescent="0.3">
      <c r="B7" s="50" t="s">
        <v>726</v>
      </c>
      <c r="X7" s="41" t="s">
        <v>53</v>
      </c>
      <c r="Y7" s="42">
        <v>48.650000000000006</v>
      </c>
    </row>
    <row r="8" spans="1:25" ht="19" x14ac:dyDescent="0.15">
      <c r="X8" s="41" t="s">
        <v>724</v>
      </c>
      <c r="Y8" s="42">
        <v>48.199999999999996</v>
      </c>
    </row>
    <row r="9" spans="1:25" ht="20" thickBot="1" x14ac:dyDescent="0.25">
      <c r="U9" s="12"/>
      <c r="X9" s="41" t="s">
        <v>725</v>
      </c>
      <c r="Y9" s="42">
        <v>47.7</v>
      </c>
    </row>
    <row r="10" spans="1:25" ht="25" x14ac:dyDescent="0.25">
      <c r="B10" s="48" t="s">
        <v>5</v>
      </c>
      <c r="X10" s="41" t="s">
        <v>726</v>
      </c>
      <c r="Y10" s="42">
        <v>82.8</v>
      </c>
    </row>
    <row r="11" spans="1:25" ht="19" x14ac:dyDescent="0.15">
      <c r="B11" s="56"/>
      <c r="X11" s="41" t="s">
        <v>727</v>
      </c>
      <c r="Y11" s="42">
        <v>71.766666666666666</v>
      </c>
    </row>
    <row r="12" spans="1:25" ht="30" customHeight="1" x14ac:dyDescent="0.15">
      <c r="B12" s="47"/>
      <c r="X12" s="41" t="s">
        <v>728</v>
      </c>
      <c r="Y12" s="42">
        <v>27.76</v>
      </c>
    </row>
    <row r="13" spans="1:25" ht="19" x14ac:dyDescent="0.15">
      <c r="B13" s="47"/>
      <c r="X13" s="41" t="s">
        <v>729</v>
      </c>
      <c r="Y13" s="42">
        <v>41.074999999999996</v>
      </c>
    </row>
    <row r="14" spans="1:25" ht="22" thickBot="1" x14ac:dyDescent="0.2">
      <c r="B14" s="57">
        <f>_xlfn.XLOOKUP(Dashboard!B7,'Micros Dataset'!$A$2:$A$11,'Micros Dataset'!$B$2:$B$11,"Please Select State",0)</f>
        <v>1687087.25</v>
      </c>
      <c r="X14" s="41" t="s">
        <v>730</v>
      </c>
      <c r="Y14" s="42">
        <v>61.800000000000004</v>
      </c>
    </row>
    <row r="15" spans="1:25" ht="20" thickBot="1" x14ac:dyDescent="0.2">
      <c r="X15" s="43"/>
      <c r="Y15" s="44"/>
    </row>
    <row r="16" spans="1:25" ht="26" thickBot="1" x14ac:dyDescent="0.3">
      <c r="B16" s="53" t="s">
        <v>732</v>
      </c>
      <c r="X16" s="40" t="s">
        <v>2</v>
      </c>
      <c r="Y16" s="45" t="s">
        <v>742</v>
      </c>
    </row>
    <row r="17" spans="2:25" ht="19" x14ac:dyDescent="0.15">
      <c r="B17" s="47"/>
      <c r="X17" s="41" t="s">
        <v>721</v>
      </c>
      <c r="Y17" s="42">
        <v>27.75</v>
      </c>
    </row>
    <row r="18" spans="2:25" ht="19" x14ac:dyDescent="0.15">
      <c r="B18" s="47"/>
      <c r="X18" s="41" t="s">
        <v>722</v>
      </c>
      <c r="Y18" s="42">
        <v>24</v>
      </c>
    </row>
    <row r="19" spans="2:25" ht="24" thickBot="1" x14ac:dyDescent="0.3">
      <c r="B19" s="54">
        <f>_xlfn.XLOOKUP(Dashboard!$B$7,'Micros Dataset'!$A$2:$A$11,'Micros Dataset'!$C$2:$C$11,"Please Select State",0)</f>
        <v>100.855</v>
      </c>
      <c r="X19" s="41" t="s">
        <v>723</v>
      </c>
      <c r="Y19" s="42">
        <v>14.25</v>
      </c>
    </row>
    <row r="20" spans="2:25" ht="19" x14ac:dyDescent="0.15">
      <c r="X20" s="41" t="s">
        <v>724</v>
      </c>
      <c r="Y20" s="42">
        <v>23.5</v>
      </c>
    </row>
    <row r="21" spans="2:25" ht="20" thickBot="1" x14ac:dyDescent="0.2">
      <c r="X21" s="41" t="s">
        <v>725</v>
      </c>
      <c r="Y21" s="42">
        <v>18.25</v>
      </c>
    </row>
    <row r="22" spans="2:25" ht="26" thickBot="1" x14ac:dyDescent="0.3">
      <c r="B22" s="53" t="s">
        <v>733</v>
      </c>
      <c r="X22" s="41" t="s">
        <v>726</v>
      </c>
      <c r="Y22" s="42">
        <v>15</v>
      </c>
    </row>
    <row r="23" spans="2:25" ht="19" x14ac:dyDescent="0.15">
      <c r="B23" s="47"/>
      <c r="X23" s="41" t="s">
        <v>727</v>
      </c>
      <c r="Y23" s="42">
        <v>16</v>
      </c>
    </row>
    <row r="24" spans="2:25" ht="19" x14ac:dyDescent="0.15">
      <c r="B24" s="47"/>
      <c r="X24" s="41" t="s">
        <v>728</v>
      </c>
      <c r="Y24" s="42">
        <v>19.75</v>
      </c>
    </row>
    <row r="25" spans="2:25" ht="24" thickBot="1" x14ac:dyDescent="0.3">
      <c r="B25" s="54">
        <f>_xlfn.XLOOKUP(Dashboard!$B$7,'Micros Dataset'!$A$2:$A$11,'Micros Dataset'!$D$2:$D$11,"Please Select State",0)</f>
        <v>41.75</v>
      </c>
      <c r="X25" s="41" t="s">
        <v>729</v>
      </c>
      <c r="Y25" s="42">
        <v>24.25</v>
      </c>
    </row>
    <row r="26" spans="2:25" ht="20" thickBot="1" x14ac:dyDescent="0.2">
      <c r="X26" s="41" t="s">
        <v>730</v>
      </c>
      <c r="Y26" s="42">
        <v>19</v>
      </c>
    </row>
    <row r="27" spans="2:25" ht="22" thickBot="1" x14ac:dyDescent="0.3">
      <c r="B27" s="52" t="s">
        <v>744</v>
      </c>
      <c r="X27" s="43"/>
      <c r="Y27" s="44"/>
    </row>
    <row r="28" spans="2:25" ht="19" x14ac:dyDescent="0.15">
      <c r="B28" s="47"/>
      <c r="X28" s="40" t="s">
        <v>2</v>
      </c>
      <c r="Y28" s="45" t="s">
        <v>15</v>
      </c>
    </row>
    <row r="29" spans="2:25" ht="19" x14ac:dyDescent="0.15">
      <c r="B29" s="47"/>
      <c r="X29" s="41" t="s">
        <v>721</v>
      </c>
      <c r="Y29" s="42">
        <v>2.1666666666666665</v>
      </c>
    </row>
    <row r="30" spans="2:25" ht="24" thickBot="1" x14ac:dyDescent="0.3">
      <c r="B30" s="55">
        <f>_xlfn.XLOOKUP(Dashboard!$B$7,'Micros Dataset'!$A$2:$A$11,'Micros Dataset'!$G$2:$G$11,"Please Select State",0)</f>
        <v>159</v>
      </c>
      <c r="X30" s="41" t="s">
        <v>722</v>
      </c>
      <c r="Y30" s="42">
        <v>3.7279999999999998</v>
      </c>
    </row>
    <row r="31" spans="2:25" ht="20" thickBot="1" x14ac:dyDescent="0.2">
      <c r="X31" s="41" t="s">
        <v>723</v>
      </c>
      <c r="Y31" s="42">
        <v>3.0857142857142854</v>
      </c>
    </row>
    <row r="32" spans="2:25" ht="26.5" customHeight="1" x14ac:dyDescent="0.25">
      <c r="B32" s="51" t="s">
        <v>745</v>
      </c>
      <c r="X32" s="41" t="s">
        <v>724</v>
      </c>
      <c r="Y32" s="42">
        <v>1.9449999999999998</v>
      </c>
    </row>
    <row r="33" spans="2:25" ht="19" x14ac:dyDescent="0.15">
      <c r="B33" s="47"/>
      <c r="X33" s="41" t="s">
        <v>725</v>
      </c>
      <c r="Y33" s="42">
        <v>1.1083333333333334</v>
      </c>
    </row>
    <row r="34" spans="2:25" ht="19" x14ac:dyDescent="0.15">
      <c r="B34" s="47"/>
      <c r="X34" s="41" t="s">
        <v>726</v>
      </c>
      <c r="Y34" s="42">
        <v>3.1749999999999998</v>
      </c>
    </row>
    <row r="35" spans="2:25" ht="24" thickBot="1" x14ac:dyDescent="0.3">
      <c r="B35" s="55">
        <f>_xlfn.XLOOKUP(Dashboard!$B$7,'Micros Dataset'!$A$2:$A$11,'Micros Dataset'!$H$2:$H$11,"Please Select State",0)</f>
        <v>146</v>
      </c>
      <c r="X35" s="41" t="s">
        <v>727</v>
      </c>
      <c r="Y35" s="42">
        <v>2.8</v>
      </c>
    </row>
    <row r="36" spans="2:25" ht="19" x14ac:dyDescent="0.15">
      <c r="X36" s="41" t="s">
        <v>728</v>
      </c>
      <c r="Y36" s="42">
        <v>1.3833333333333337</v>
      </c>
    </row>
    <row r="37" spans="2:25" ht="21" x14ac:dyDescent="0.25">
      <c r="B37" s="34" t="s">
        <v>2</v>
      </c>
      <c r="C37" s="35" t="s">
        <v>738</v>
      </c>
      <c r="X37" s="41" t="s">
        <v>729</v>
      </c>
      <c r="Y37" s="42">
        <v>2.1080000000000005</v>
      </c>
    </row>
    <row r="38" spans="2:25" ht="19" x14ac:dyDescent="0.2">
      <c r="B38" s="21" t="s">
        <v>42</v>
      </c>
      <c r="C38" s="22">
        <v>80.25</v>
      </c>
      <c r="X38" s="41" t="s">
        <v>730</v>
      </c>
      <c r="Y38" s="42">
        <v>3.1909090909090909</v>
      </c>
    </row>
    <row r="39" spans="2:25" ht="18" x14ac:dyDescent="0.2">
      <c r="B39" s="23" t="s">
        <v>22</v>
      </c>
      <c r="C39" s="24">
        <v>35.5</v>
      </c>
    </row>
    <row r="40" spans="2:25" ht="18" x14ac:dyDescent="0.2">
      <c r="B40" s="21" t="s">
        <v>53</v>
      </c>
      <c r="C40" s="22">
        <v>48.25</v>
      </c>
    </row>
    <row r="41" spans="2:25" ht="18" x14ac:dyDescent="0.2">
      <c r="B41" s="23" t="s">
        <v>36</v>
      </c>
      <c r="C41" s="24">
        <v>73</v>
      </c>
    </row>
    <row r="42" spans="2:25" ht="18" x14ac:dyDescent="0.2">
      <c r="B42" s="21" t="s">
        <v>38</v>
      </c>
      <c r="C42" s="22">
        <v>60.75</v>
      </c>
      <c r="U42" s="39"/>
    </row>
    <row r="43" spans="2:25" ht="18" x14ac:dyDescent="0.2">
      <c r="B43" s="23" t="s">
        <v>40</v>
      </c>
      <c r="C43" s="24">
        <v>67.25</v>
      </c>
    </row>
    <row r="44" spans="2:25" ht="18" x14ac:dyDescent="0.2">
      <c r="B44" s="21" t="s">
        <v>18</v>
      </c>
      <c r="C44" s="22">
        <v>66</v>
      </c>
    </row>
    <row r="45" spans="2:25" ht="18" x14ac:dyDescent="0.2">
      <c r="B45" s="23" t="s">
        <v>60</v>
      </c>
      <c r="C45" s="24">
        <v>75</v>
      </c>
    </row>
    <row r="46" spans="2:25" ht="18" x14ac:dyDescent="0.2">
      <c r="B46" s="21" t="s">
        <v>28</v>
      </c>
      <c r="C46" s="22">
        <v>75.25</v>
      </c>
    </row>
    <row r="47" spans="2:25" ht="18" x14ac:dyDescent="0.2">
      <c r="B47" s="25" t="s">
        <v>31</v>
      </c>
      <c r="C47" s="26">
        <v>64.75</v>
      </c>
    </row>
  </sheetData>
  <mergeCells count="1">
    <mergeCell ref="A1:W1"/>
  </mergeCells>
  <conditionalFormatting sqref="B38:C47">
    <cfRule type="dataBar" priority="137">
      <dataBar>
        <cfvo type="min"/>
        <cfvo type="max"/>
        <color rgb="FF92D050"/>
      </dataBar>
      <extLst>
        <ext xmlns:x14="http://schemas.microsoft.com/office/spreadsheetml/2009/9/main" uri="{B025F937-C7B1-47D3-B67F-A62EFF666E3E}">
          <x14:id>{F5D96982-2351-440F-9179-11DDA82C34DA}</x14:id>
        </ext>
      </extLst>
    </cfRule>
  </conditionalFormatting>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21520" r:id="rId4" name="Button 16">
              <controlPr defaultSize="0" print="0" autoFill="0" autoPict="0" macro="[0]!Macro5">
                <anchor moveWithCells="1" sizeWithCells="1">
                  <from>
                    <xdr:col>5</xdr:col>
                    <xdr:colOff>444500</xdr:colOff>
                    <xdr:row>42</xdr:row>
                    <xdr:rowOff>203200</xdr:rowOff>
                  </from>
                  <to>
                    <xdr:col>8</xdr:col>
                    <xdr:colOff>241300</xdr:colOff>
                    <xdr:row>46</xdr:row>
                    <xdr:rowOff>165100</xdr:rowOff>
                  </to>
                </anchor>
              </controlPr>
            </control>
          </mc:Choice>
        </mc:AlternateContent>
        <mc:AlternateContent xmlns:mc="http://schemas.openxmlformats.org/markup-compatibility/2006">
          <mc:Choice Requires="x14">
            <control shapeId="21521" r:id="rId5" name="Button 17">
              <controlPr defaultSize="0" print="0" autoFill="0" autoPict="0" macro="[0]!Sort1">
                <anchor moveWithCells="1" sizeWithCells="1">
                  <from>
                    <xdr:col>11</xdr:col>
                    <xdr:colOff>127000</xdr:colOff>
                    <xdr:row>42</xdr:row>
                    <xdr:rowOff>215900</xdr:rowOff>
                  </from>
                  <to>
                    <xdr:col>13</xdr:col>
                    <xdr:colOff>508000</xdr:colOff>
                    <xdr:row>46</xdr:row>
                    <xdr:rowOff>177800</xdr:rowOff>
                  </to>
                </anchor>
              </controlPr>
            </control>
          </mc:Choice>
        </mc:AlternateContent>
        <mc:AlternateContent xmlns:mc="http://schemas.openxmlformats.org/markup-compatibility/2006">
          <mc:Choice Requires="x14">
            <control shapeId="21522" r:id="rId6" name="Button 18">
              <controlPr defaultSize="0" print="0" autoFill="0" autoPict="0" macro="[0]!Macro7">
                <anchor moveWithCells="1" sizeWithCells="1">
                  <from>
                    <xdr:col>14</xdr:col>
                    <xdr:colOff>736600</xdr:colOff>
                    <xdr:row>43</xdr:row>
                    <xdr:rowOff>12700</xdr:rowOff>
                  </from>
                  <to>
                    <xdr:col>16</xdr:col>
                    <xdr:colOff>317500</xdr:colOff>
                    <xdr:row>46</xdr:row>
                    <xdr:rowOff>139700</xdr:rowOff>
                  </to>
                </anchor>
              </controlPr>
            </control>
          </mc:Choice>
        </mc:AlternateContent>
        <mc:AlternateContent xmlns:mc="http://schemas.openxmlformats.org/markup-compatibility/2006">
          <mc:Choice Requires="x14">
            <control shapeId="21525" r:id="rId7" name="Button 21">
              <controlPr defaultSize="0" print="0" autoFill="0" autoPict="0" macro="[0]!Conclusion">
                <anchor moveWithCells="1" sizeWithCells="1">
                  <from>
                    <xdr:col>17</xdr:col>
                    <xdr:colOff>406400</xdr:colOff>
                    <xdr:row>42</xdr:row>
                    <xdr:rowOff>203200</xdr:rowOff>
                  </from>
                  <to>
                    <xdr:col>20</xdr:col>
                    <xdr:colOff>444500</xdr:colOff>
                    <xdr:row>46</xdr:row>
                    <xdr:rowOff>165100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5D96982-2351-440F-9179-11DDA82C34DA}">
            <x14:dataBar minLength="0" maxLength="100" gradient="0">
              <x14:cfvo type="autoMin"/>
              <x14:cfvo type="autoMax"/>
              <x14:negativeFillColor rgb="FFFF0000"/>
              <x14:axisColor rgb="FF000000"/>
            </x14:dataBar>
          </x14:cfRule>
          <xm:sqref>B38:C47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3CBEA52-44FF-41E8-AA73-5FA30140DCE7}">
          <x14:formula1>
            <xm:f>'Micros Dataset'!$A$2:$A$11</xm:f>
          </x14:formula1>
          <xm:sqref>B7</xm:sqref>
        </x14:dataValidation>
      </x14:dataValidations>
    </ex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4C0DD-7EFC-45CA-93BD-7B2C34321A51}">
  <sheetPr>
    <tabColor theme="7" tint="-0.249977111117893"/>
  </sheetPr>
  <dimension ref="A1:O4"/>
  <sheetViews>
    <sheetView workbookViewId="0">
      <selection activeCell="D19" sqref="D19"/>
    </sheetView>
  </sheetViews>
  <sheetFormatPr baseColWidth="10" defaultColWidth="8.83203125" defaultRowHeight="14" x14ac:dyDescent="0.15"/>
  <cols>
    <col min="1" max="1" width="16.1640625" bestFit="1" customWidth="1"/>
    <col min="2" max="2" width="11.33203125" bestFit="1" customWidth="1"/>
    <col min="3" max="3" width="11.6640625" bestFit="1" customWidth="1"/>
    <col min="4" max="4" width="11.5" bestFit="1" customWidth="1"/>
    <col min="5" max="5" width="11.33203125" bestFit="1" customWidth="1"/>
    <col min="6" max="6" width="13.5" bestFit="1" customWidth="1"/>
    <col min="7" max="7" width="12" bestFit="1" customWidth="1"/>
    <col min="8" max="8" width="13.5" bestFit="1" customWidth="1"/>
    <col min="9" max="9" width="9.5" bestFit="1" customWidth="1"/>
    <col min="10" max="10" width="22" bestFit="1" customWidth="1"/>
    <col min="11" max="11" width="12.1640625" bestFit="1" customWidth="1"/>
    <col min="12" max="12" width="13.83203125" bestFit="1" customWidth="1"/>
    <col min="13" max="13" width="11.5" bestFit="1" customWidth="1"/>
    <col min="14" max="14" width="14.33203125" bestFit="1" customWidth="1"/>
    <col min="15" max="15" width="18.1640625" bestFit="1" customWidth="1"/>
  </cols>
  <sheetData>
    <row r="1" spans="1:15" ht="15" thickBot="1" x14ac:dyDescent="0.2"/>
    <row r="2" spans="1:15" ht="24" thickBot="1" x14ac:dyDescent="0.3">
      <c r="A2" s="66" t="s">
        <v>746</v>
      </c>
      <c r="B2" s="67"/>
      <c r="C2" s="67"/>
      <c r="D2" s="67"/>
      <c r="E2" s="67"/>
      <c r="F2" s="67"/>
      <c r="G2" s="67"/>
      <c r="H2" s="67"/>
      <c r="I2" s="67"/>
      <c r="J2" s="67"/>
      <c r="K2" s="67"/>
      <c r="L2" s="67"/>
      <c r="M2" s="67"/>
      <c r="N2" s="67"/>
      <c r="O2" s="68"/>
    </row>
    <row r="3" spans="1:15" x14ac:dyDescent="0.15">
      <c r="A3" s="61" t="s">
        <v>2</v>
      </c>
      <c r="B3" s="61" t="s">
        <v>5</v>
      </c>
      <c r="C3" s="61" t="s">
        <v>10</v>
      </c>
      <c r="D3" s="61" t="s">
        <v>12</v>
      </c>
      <c r="E3" s="61" t="s">
        <v>13</v>
      </c>
      <c r="F3" s="61" t="s">
        <v>15</v>
      </c>
      <c r="G3" s="61" t="s">
        <v>719</v>
      </c>
      <c r="H3" s="61" t="s">
        <v>720</v>
      </c>
      <c r="I3" s="61" t="s">
        <v>6</v>
      </c>
      <c r="J3" s="61" t="s">
        <v>716</v>
      </c>
      <c r="K3" s="61" t="s">
        <v>8</v>
      </c>
      <c r="L3" s="61" t="s">
        <v>9</v>
      </c>
      <c r="M3" s="61" t="s">
        <v>12</v>
      </c>
      <c r="N3" s="61" t="s">
        <v>747</v>
      </c>
      <c r="O3" s="61" t="s">
        <v>742</v>
      </c>
    </row>
    <row r="4" spans="1:15" x14ac:dyDescent="0.15">
      <c r="A4" s="59" t="s">
        <v>726</v>
      </c>
      <c r="B4" s="60">
        <v>1687087.25</v>
      </c>
      <c r="C4" s="60">
        <v>100.855</v>
      </c>
      <c r="D4" s="60">
        <v>41.75</v>
      </c>
      <c r="E4" s="60">
        <v>82.8</v>
      </c>
      <c r="F4" s="60">
        <v>3.1749999999999998</v>
      </c>
      <c r="G4" s="60">
        <v>159</v>
      </c>
      <c r="H4" s="60">
        <v>146</v>
      </c>
      <c r="I4" s="59">
        <v>1980</v>
      </c>
      <c r="J4" s="62">
        <v>2.4750000000000001</v>
      </c>
      <c r="K4" s="63">
        <v>70850.75</v>
      </c>
      <c r="L4" s="63">
        <v>114.675</v>
      </c>
      <c r="M4" s="63">
        <v>41.75</v>
      </c>
      <c r="N4" s="63">
        <v>67.25</v>
      </c>
      <c r="O4" s="63">
        <f>AVERAGE(Table_Weather_Data[[#This Row],[avg_temp_spr]:[avg_temp_wint]])</f>
        <v>27.75</v>
      </c>
    </row>
  </sheetData>
  <mergeCells count="1">
    <mergeCell ref="A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FC39-3341-4ABD-B0AD-F03EF67AC2A8}">
  <dimension ref="A3:B12"/>
  <sheetViews>
    <sheetView tabSelected="1" workbookViewId="0">
      <selection activeCell="J22" sqref="J22"/>
    </sheetView>
  </sheetViews>
  <sheetFormatPr baseColWidth="10" defaultColWidth="8.83203125" defaultRowHeight="14" x14ac:dyDescent="0.15"/>
  <cols>
    <col min="1" max="1" width="14" bestFit="1" customWidth="1"/>
    <col min="2" max="2" width="17.33203125" bestFit="1" customWidth="1"/>
  </cols>
  <sheetData>
    <row r="3" spans="1:2" x14ac:dyDescent="0.15">
      <c r="A3" s="1" t="s">
        <v>714</v>
      </c>
      <c r="B3" t="s">
        <v>743</v>
      </c>
    </row>
    <row r="4" spans="1:2" x14ac:dyDescent="0.15">
      <c r="A4" s="2" t="s">
        <v>53</v>
      </c>
      <c r="B4" s="3">
        <v>23.157142857142855</v>
      </c>
    </row>
    <row r="5" spans="1:2" x14ac:dyDescent="0.15">
      <c r="A5" s="2" t="s">
        <v>36</v>
      </c>
      <c r="B5" s="3">
        <v>25.517647058823528</v>
      </c>
    </row>
    <row r="6" spans="1:2" x14ac:dyDescent="0.15">
      <c r="A6" s="2" t="s">
        <v>38</v>
      </c>
      <c r="B6" s="3">
        <v>23.662500000000001</v>
      </c>
    </row>
    <row r="7" spans="1:2" x14ac:dyDescent="0.15">
      <c r="A7" s="2" t="s">
        <v>40</v>
      </c>
      <c r="B7" s="3">
        <v>25.974999999999998</v>
      </c>
    </row>
    <row r="8" spans="1:2" x14ac:dyDescent="0.15">
      <c r="A8" s="2" t="s">
        <v>18</v>
      </c>
      <c r="B8" s="3">
        <v>23.333333333333336</v>
      </c>
    </row>
    <row r="9" spans="1:2" x14ac:dyDescent="0.15">
      <c r="A9" s="2" t="s">
        <v>60</v>
      </c>
      <c r="B9" s="3">
        <v>23.141666666666666</v>
      </c>
    </row>
    <row r="10" spans="1:2" x14ac:dyDescent="0.15">
      <c r="A10" s="2" t="s">
        <v>28</v>
      </c>
      <c r="B10" s="3">
        <v>21.789473684210531</v>
      </c>
    </row>
    <row r="11" spans="1:2" x14ac:dyDescent="0.15">
      <c r="A11" s="2" t="s">
        <v>31</v>
      </c>
      <c r="B11" s="3">
        <v>23.470000000000006</v>
      </c>
    </row>
    <row r="12" spans="1:2" x14ac:dyDescent="0.15">
      <c r="A12" s="2" t="s">
        <v>715</v>
      </c>
      <c r="B12" s="3">
        <v>23.552325581395333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29770-7FC6-4FE7-85E1-1B1969E89FBC}">
  <sheetPr codeName="Sheet15" filterMode="1"/>
  <dimension ref="A1:S134"/>
  <sheetViews>
    <sheetView workbookViewId="0">
      <selection activeCell="N1" sqref="N1"/>
    </sheetView>
  </sheetViews>
  <sheetFormatPr baseColWidth="10" defaultColWidth="8.83203125" defaultRowHeight="14" x14ac:dyDescent="0.15"/>
  <cols>
    <col min="7" max="7" width="10.5" bestFit="1" customWidth="1"/>
    <col min="8" max="8" width="13.6640625" bestFit="1" customWidth="1"/>
    <col min="10" max="10" width="10.6640625" customWidth="1"/>
    <col min="11" max="11" width="14.5" bestFit="1" customWidth="1"/>
    <col min="13" max="13" width="16.1640625" bestFit="1" customWidth="1"/>
    <col min="14" max="14" width="12.6640625" bestFit="1" customWidth="1"/>
  </cols>
  <sheetData>
    <row r="1" spans="1:19" x14ac:dyDescent="0.15">
      <c r="A1" t="s">
        <v>0</v>
      </c>
      <c r="B1" t="s">
        <v>1</v>
      </c>
      <c r="C1" t="s">
        <v>2</v>
      </c>
      <c r="D1" t="s">
        <v>3</v>
      </c>
      <c r="E1" t="s">
        <v>4</v>
      </c>
      <c r="F1" t="s">
        <v>5</v>
      </c>
      <c r="G1" t="s">
        <v>6</v>
      </c>
      <c r="H1" t="s">
        <v>7</v>
      </c>
      <c r="I1" t="s">
        <v>716</v>
      </c>
      <c r="J1" t="s">
        <v>8</v>
      </c>
      <c r="K1" t="s">
        <v>9</v>
      </c>
      <c r="L1" t="s">
        <v>10</v>
      </c>
      <c r="M1" t="s">
        <v>11</v>
      </c>
      <c r="N1" t="s">
        <v>12</v>
      </c>
      <c r="O1" t="s">
        <v>13</v>
      </c>
      <c r="P1" t="s">
        <v>14</v>
      </c>
      <c r="Q1" t="s">
        <v>15</v>
      </c>
      <c r="R1" t="s">
        <v>16</v>
      </c>
      <c r="S1" t="s">
        <v>17</v>
      </c>
    </row>
    <row r="2" spans="1:19" hidden="1" x14ac:dyDescent="0.15">
      <c r="A2">
        <v>271</v>
      </c>
      <c r="B2" t="s">
        <v>326</v>
      </c>
      <c r="C2" t="s">
        <v>42</v>
      </c>
      <c r="D2" t="s">
        <v>23</v>
      </c>
      <c r="E2" t="s">
        <v>249</v>
      </c>
      <c r="F2">
        <v>145101</v>
      </c>
      <c r="G2">
        <v>2317</v>
      </c>
      <c r="H2">
        <v>1447</v>
      </c>
      <c r="I2">
        <v>3.7999999999999999E-2</v>
      </c>
      <c r="J2">
        <v>56914</v>
      </c>
      <c r="K2">
        <v>108.5</v>
      </c>
      <c r="L2">
        <v>95.55</v>
      </c>
      <c r="M2">
        <v>16.600000000000001</v>
      </c>
      <c r="N2">
        <v>47</v>
      </c>
      <c r="Q2">
        <v>2.1</v>
      </c>
      <c r="R2">
        <v>35.187199999999997</v>
      </c>
      <c r="S2">
        <v>-111.6194</v>
      </c>
    </row>
    <row r="3" spans="1:19" hidden="1" x14ac:dyDescent="0.15">
      <c r="A3" s="4">
        <v>204</v>
      </c>
      <c r="B3" s="5" t="s">
        <v>267</v>
      </c>
      <c r="C3" s="5" t="s">
        <v>42</v>
      </c>
      <c r="D3" s="5" t="s">
        <v>23</v>
      </c>
      <c r="E3" s="5" t="s">
        <v>249</v>
      </c>
      <c r="F3" s="5">
        <v>213267</v>
      </c>
      <c r="G3" s="5">
        <v>1716</v>
      </c>
      <c r="H3" s="5">
        <v>871</v>
      </c>
      <c r="I3" s="5">
        <v>3.9E-2</v>
      </c>
      <c r="J3" s="5">
        <v>41331</v>
      </c>
      <c r="K3" s="5">
        <v>98.4</v>
      </c>
      <c r="L3" s="5">
        <v>89.59</v>
      </c>
      <c r="M3" s="5">
        <v>21.8</v>
      </c>
      <c r="N3" s="5">
        <v>18</v>
      </c>
      <c r="O3" s="5"/>
      <c r="P3" s="5"/>
      <c r="Q3" s="5">
        <v>0.4</v>
      </c>
      <c r="R3" s="5">
        <v>34.500599999999999</v>
      </c>
      <c r="S3" s="9">
        <v>-114.3113</v>
      </c>
    </row>
    <row r="4" spans="1:19" hidden="1" x14ac:dyDescent="0.15">
      <c r="A4" s="6">
        <v>10</v>
      </c>
      <c r="B4" s="7" t="s">
        <v>41</v>
      </c>
      <c r="C4" s="7" t="s">
        <v>42</v>
      </c>
      <c r="D4" s="7" t="s">
        <v>23</v>
      </c>
      <c r="E4" s="7" t="s">
        <v>20</v>
      </c>
      <c r="F4" s="7">
        <v>4845832</v>
      </c>
      <c r="G4" s="7">
        <v>1755</v>
      </c>
      <c r="H4" s="7">
        <v>1584</v>
      </c>
      <c r="I4" s="7">
        <v>2.7000000000000003E-2</v>
      </c>
      <c r="J4" s="7">
        <v>58308</v>
      </c>
      <c r="K4" s="7">
        <v>104.3</v>
      </c>
      <c r="L4" s="7">
        <v>99.18</v>
      </c>
      <c r="M4" s="7">
        <v>26.4</v>
      </c>
      <c r="N4" s="7">
        <v>77</v>
      </c>
      <c r="O4" s="7">
        <v>41.4</v>
      </c>
      <c r="P4" s="7">
        <v>55.9</v>
      </c>
      <c r="Q4" s="7">
        <v>4.0999999999999996</v>
      </c>
      <c r="R4" s="7">
        <v>33.572200000000002</v>
      </c>
      <c r="S4" s="8">
        <v>-112.08920000000001</v>
      </c>
    </row>
    <row r="5" spans="1:19" hidden="1" x14ac:dyDescent="0.15">
      <c r="A5" s="4">
        <v>297</v>
      </c>
      <c r="B5" s="5" t="s">
        <v>349</v>
      </c>
      <c r="C5" s="5" t="s">
        <v>42</v>
      </c>
      <c r="D5" s="5" t="s">
        <v>23</v>
      </c>
      <c r="E5" s="5" t="s">
        <v>249</v>
      </c>
      <c r="F5" s="5">
        <v>125447</v>
      </c>
      <c r="G5" s="5">
        <v>1464</v>
      </c>
      <c r="H5" s="5">
        <v>825</v>
      </c>
      <c r="I5" s="5">
        <v>3.6000000000000004E-2</v>
      </c>
      <c r="J5" s="5">
        <v>49096</v>
      </c>
      <c r="K5" s="5">
        <v>93.2</v>
      </c>
      <c r="L5" s="5">
        <v>88.13</v>
      </c>
      <c r="M5" s="5"/>
      <c r="N5" s="5">
        <v>45</v>
      </c>
      <c r="O5" s="5"/>
      <c r="P5" s="5"/>
      <c r="Q5" s="5">
        <v>0.7</v>
      </c>
      <c r="R5" s="5">
        <v>31.562999999999999</v>
      </c>
      <c r="S5" s="9">
        <v>-110.31529999999999</v>
      </c>
    </row>
    <row r="6" spans="1:19" hidden="1" x14ac:dyDescent="0.15">
      <c r="A6" s="4">
        <v>52</v>
      </c>
      <c r="B6" s="5" t="s">
        <v>104</v>
      </c>
      <c r="C6" s="5" t="s">
        <v>42</v>
      </c>
      <c r="D6" s="5" t="s">
        <v>23</v>
      </c>
      <c r="E6" s="5" t="s">
        <v>20</v>
      </c>
      <c r="F6" s="5">
        <v>1043433</v>
      </c>
      <c r="G6" s="5">
        <v>1523</v>
      </c>
      <c r="H6" s="5">
        <v>951</v>
      </c>
      <c r="I6" s="5">
        <v>3.1E-2</v>
      </c>
      <c r="J6" s="5">
        <v>52942</v>
      </c>
      <c r="K6" s="5">
        <v>97.7</v>
      </c>
      <c r="L6" s="5">
        <v>92.92</v>
      </c>
      <c r="M6" s="5">
        <v>24.4</v>
      </c>
      <c r="N6" s="5">
        <v>48</v>
      </c>
      <c r="O6" s="5">
        <v>43.2</v>
      </c>
      <c r="P6" s="5">
        <v>66.3</v>
      </c>
      <c r="Q6" s="5">
        <v>3.7</v>
      </c>
      <c r="R6" s="5">
        <v>32.1541</v>
      </c>
      <c r="S6" s="9">
        <v>-110.87869999999999</v>
      </c>
    </row>
    <row r="7" spans="1:19" hidden="1" x14ac:dyDescent="0.15">
      <c r="A7" s="6">
        <v>212</v>
      </c>
      <c r="B7" s="7" t="s">
        <v>272</v>
      </c>
      <c r="C7" s="7" t="s">
        <v>42</v>
      </c>
      <c r="D7" s="7" t="s">
        <v>23</v>
      </c>
      <c r="E7" s="7" t="s">
        <v>249</v>
      </c>
      <c r="F7" s="7">
        <v>203881</v>
      </c>
      <c r="G7" s="7">
        <v>1535</v>
      </c>
      <c r="H7" s="7">
        <v>892</v>
      </c>
      <c r="I7" s="7">
        <v>0.13699999999999998</v>
      </c>
      <c r="J7" s="7">
        <v>44299</v>
      </c>
      <c r="K7" s="7">
        <v>94.5</v>
      </c>
      <c r="L7" s="7">
        <v>89.54</v>
      </c>
      <c r="M7" s="7">
        <v>20</v>
      </c>
      <c r="N7" s="7">
        <v>46</v>
      </c>
      <c r="O7" s="7"/>
      <c r="P7" s="7"/>
      <c r="Q7" s="7">
        <v>2</v>
      </c>
      <c r="R7" s="7">
        <v>32.599499999999999</v>
      </c>
      <c r="S7" s="8">
        <v>-114.5491</v>
      </c>
    </row>
    <row r="8" spans="1:19" hidden="1" x14ac:dyDescent="0.15">
      <c r="A8" s="6">
        <v>61</v>
      </c>
      <c r="B8" s="7" t="s">
        <v>118</v>
      </c>
      <c r="C8" s="7" t="s">
        <v>22</v>
      </c>
      <c r="D8" s="7" t="s">
        <v>23</v>
      </c>
      <c r="E8" s="7" t="s">
        <v>110</v>
      </c>
      <c r="F8" s="7">
        <v>909235</v>
      </c>
      <c r="G8" s="7">
        <v>1836</v>
      </c>
      <c r="H8" s="7">
        <v>927</v>
      </c>
      <c r="I8" s="7">
        <v>6.7000000000000004E-2</v>
      </c>
      <c r="J8" s="7">
        <v>45961</v>
      </c>
      <c r="K8" s="7">
        <v>102.9</v>
      </c>
      <c r="L8" s="7">
        <v>100.94</v>
      </c>
      <c r="M8" s="7">
        <v>22.6</v>
      </c>
      <c r="N8" s="7">
        <v>57</v>
      </c>
      <c r="O8" s="7">
        <v>37.299999999999997</v>
      </c>
      <c r="P8" s="7">
        <v>43.7</v>
      </c>
      <c r="Q8" s="7">
        <v>3.1</v>
      </c>
      <c r="R8" s="7">
        <v>35.352899999999998</v>
      </c>
      <c r="S8" s="8">
        <v>-119.0359</v>
      </c>
    </row>
    <row r="9" spans="1:19" hidden="1" x14ac:dyDescent="0.15">
      <c r="A9" s="6">
        <v>205</v>
      </c>
      <c r="B9" s="7" t="s">
        <v>268</v>
      </c>
      <c r="C9" s="7" t="s">
        <v>22</v>
      </c>
      <c r="D9" s="7" t="s">
        <v>23</v>
      </c>
      <c r="E9" s="7" t="s">
        <v>249</v>
      </c>
      <c r="F9" s="7">
        <v>211632</v>
      </c>
      <c r="G9" s="7">
        <v>1620</v>
      </c>
      <c r="H9" s="7">
        <v>1011</v>
      </c>
      <c r="I9" s="7">
        <v>0.04</v>
      </c>
      <c r="J9" s="7">
        <v>54694</v>
      </c>
      <c r="K9" s="7">
        <v>110.5</v>
      </c>
      <c r="L9" s="7">
        <v>102.52</v>
      </c>
      <c r="M9" s="7">
        <v>20.5</v>
      </c>
      <c r="N9" s="7">
        <v>43</v>
      </c>
      <c r="O9" s="7"/>
      <c r="P9" s="7"/>
      <c r="Q9" s="7">
        <v>2.9</v>
      </c>
      <c r="R9" s="7">
        <v>39.757800000000003</v>
      </c>
      <c r="S9" s="8">
        <v>-121.81610000000001</v>
      </c>
    </row>
    <row r="10" spans="1:19" hidden="1" x14ac:dyDescent="0.15">
      <c r="A10" s="6">
        <v>55</v>
      </c>
      <c r="B10" s="7" t="s">
        <v>108</v>
      </c>
      <c r="C10" s="7" t="s">
        <v>22</v>
      </c>
      <c r="D10" s="7" t="s">
        <v>23</v>
      </c>
      <c r="E10" s="7" t="s">
        <v>20</v>
      </c>
      <c r="F10" s="7">
        <v>1008654</v>
      </c>
      <c r="G10" s="7">
        <v>1747</v>
      </c>
      <c r="H10" s="7">
        <v>1060</v>
      </c>
      <c r="I10" s="7">
        <v>6.2E-2</v>
      </c>
      <c r="J10" s="7">
        <v>51422</v>
      </c>
      <c r="K10" s="7">
        <v>105.9</v>
      </c>
      <c r="L10" s="7">
        <v>101.56</v>
      </c>
      <c r="M10" s="7">
        <v>22.8</v>
      </c>
      <c r="N10" s="7">
        <v>64</v>
      </c>
      <c r="O10" s="7">
        <v>46.6</v>
      </c>
      <c r="P10" s="7">
        <v>58.1</v>
      </c>
      <c r="Q10" s="7">
        <v>3.2</v>
      </c>
      <c r="R10" s="7">
        <v>36.783000000000001</v>
      </c>
      <c r="S10" s="8">
        <v>-119.79389999999999</v>
      </c>
    </row>
    <row r="11" spans="1:19" hidden="1" x14ac:dyDescent="0.15">
      <c r="A11" s="4">
        <v>260</v>
      </c>
      <c r="B11" s="5" t="s">
        <v>317</v>
      </c>
      <c r="C11" s="5" t="s">
        <v>22</v>
      </c>
      <c r="D11" s="5" t="s">
        <v>23</v>
      </c>
      <c r="E11" s="5" t="s">
        <v>249</v>
      </c>
      <c r="F11" s="5">
        <v>152486</v>
      </c>
      <c r="G11" s="5">
        <v>1735</v>
      </c>
      <c r="H11" s="5">
        <v>1102</v>
      </c>
      <c r="I11" s="5">
        <v>6.8000000000000005E-2</v>
      </c>
      <c r="J11" s="5">
        <v>43176</v>
      </c>
      <c r="K11" s="5">
        <v>105.4</v>
      </c>
      <c r="L11" s="5">
        <v>98.58</v>
      </c>
      <c r="M11" s="5"/>
      <c r="N11" s="5">
        <v>67</v>
      </c>
      <c r="O11" s="5"/>
      <c r="P11" s="5"/>
      <c r="Q11" s="5">
        <v>3</v>
      </c>
      <c r="R11" s="5">
        <v>36.327399999999997</v>
      </c>
      <c r="S11" s="9">
        <v>-119.6549</v>
      </c>
    </row>
    <row r="12" spans="1:19" hidden="1" x14ac:dyDescent="0.15">
      <c r="A12" s="6">
        <v>1</v>
      </c>
      <c r="B12" s="7" t="s">
        <v>21</v>
      </c>
      <c r="C12" s="7" t="s">
        <v>22</v>
      </c>
      <c r="D12" s="7" t="s">
        <v>23</v>
      </c>
      <c r="E12" s="7" t="s">
        <v>20</v>
      </c>
      <c r="F12" s="7">
        <v>13200998</v>
      </c>
      <c r="G12" s="7">
        <v>2857</v>
      </c>
      <c r="H12" s="7">
        <v>1925</v>
      </c>
      <c r="I12" s="7">
        <v>3.9E-2</v>
      </c>
      <c r="J12" s="7">
        <v>75821</v>
      </c>
      <c r="K12" s="7">
        <v>140.6</v>
      </c>
      <c r="L12" s="7">
        <v>113.82</v>
      </c>
      <c r="M12" s="7">
        <v>30.7</v>
      </c>
      <c r="N12" s="7">
        <v>70</v>
      </c>
      <c r="O12" s="7">
        <v>68.599999999999994</v>
      </c>
      <c r="P12" s="7">
        <v>58.7</v>
      </c>
      <c r="Q12" s="7">
        <v>6.2</v>
      </c>
      <c r="R12" s="7">
        <v>34.114100000000001</v>
      </c>
      <c r="S12" s="8">
        <v>-118.4068</v>
      </c>
    </row>
    <row r="13" spans="1:19" hidden="1" x14ac:dyDescent="0.15">
      <c r="A13" s="4">
        <v>255</v>
      </c>
      <c r="B13" s="5" t="s">
        <v>312</v>
      </c>
      <c r="C13" s="5" t="s">
        <v>22</v>
      </c>
      <c r="D13" s="5" t="s">
        <v>23</v>
      </c>
      <c r="E13" s="5" t="s">
        <v>249</v>
      </c>
      <c r="F13" s="5">
        <v>156255</v>
      </c>
      <c r="G13" s="5">
        <v>1717</v>
      </c>
      <c r="H13" s="5">
        <v>1048</v>
      </c>
      <c r="I13" s="5">
        <v>0.06</v>
      </c>
      <c r="J13" s="5">
        <v>45757</v>
      </c>
      <c r="K13" s="5">
        <v>108.9</v>
      </c>
      <c r="L13" s="5">
        <v>100.09</v>
      </c>
      <c r="M13" s="5">
        <v>25.4</v>
      </c>
      <c r="N13" s="5">
        <v>48</v>
      </c>
      <c r="O13" s="5"/>
      <c r="P13" s="5"/>
      <c r="Q13" s="5">
        <v>1.2</v>
      </c>
      <c r="R13" s="5">
        <v>36.963000000000001</v>
      </c>
      <c r="S13" s="9">
        <v>-120.0778</v>
      </c>
    </row>
    <row r="14" spans="1:19" hidden="1" x14ac:dyDescent="0.15">
      <c r="A14" s="6">
        <v>169</v>
      </c>
      <c r="B14" s="7" t="s">
        <v>231</v>
      </c>
      <c r="C14" s="7" t="s">
        <v>22</v>
      </c>
      <c r="D14" s="7" t="s">
        <v>23</v>
      </c>
      <c r="E14" s="7" t="s">
        <v>110</v>
      </c>
      <c r="F14" s="7">
        <v>281202</v>
      </c>
      <c r="G14" s="7">
        <v>1830</v>
      </c>
      <c r="H14" s="7">
        <v>1093</v>
      </c>
      <c r="I14" s="7">
        <v>7.400000000000001E-2</v>
      </c>
      <c r="J14" s="7">
        <v>46580</v>
      </c>
      <c r="K14" s="7">
        <v>108.2</v>
      </c>
      <c r="L14" s="7">
        <v>100.3</v>
      </c>
      <c r="M14" s="7">
        <v>27.8</v>
      </c>
      <c r="N14" s="7">
        <v>53</v>
      </c>
      <c r="O14" s="7"/>
      <c r="P14" s="7"/>
      <c r="Q14" s="7">
        <v>2.4</v>
      </c>
      <c r="R14" s="7">
        <v>37.305700000000002</v>
      </c>
      <c r="S14" s="8">
        <v>-120.47790000000001</v>
      </c>
    </row>
    <row r="15" spans="1:19" hidden="1" x14ac:dyDescent="0.15">
      <c r="A15" s="6">
        <v>99</v>
      </c>
      <c r="B15" s="7" t="s">
        <v>160</v>
      </c>
      <c r="C15" s="7" t="s">
        <v>22</v>
      </c>
      <c r="D15" s="7" t="s">
        <v>23</v>
      </c>
      <c r="E15" s="7" t="s">
        <v>110</v>
      </c>
      <c r="F15" s="7">
        <v>552878</v>
      </c>
      <c r="G15" s="7">
        <v>1867</v>
      </c>
      <c r="H15" s="7">
        <v>1144</v>
      </c>
      <c r="I15" s="7">
        <v>5.2999999999999999E-2</v>
      </c>
      <c r="J15" s="7">
        <v>52356</v>
      </c>
      <c r="K15" s="7">
        <v>112.3</v>
      </c>
      <c r="L15" s="7">
        <v>102.98</v>
      </c>
      <c r="M15" s="7">
        <v>28.8</v>
      </c>
      <c r="N15" s="7">
        <v>48</v>
      </c>
      <c r="O15" s="7"/>
      <c r="P15" s="7"/>
      <c r="Q15" s="7">
        <v>3.6</v>
      </c>
      <c r="R15" s="7">
        <v>37.637500000000003</v>
      </c>
      <c r="S15" s="8">
        <v>-121.00279999999999</v>
      </c>
    </row>
    <row r="16" spans="1:19" hidden="1" x14ac:dyDescent="0.15">
      <c r="A16" s="6">
        <v>279</v>
      </c>
      <c r="B16" s="7" t="s">
        <v>334</v>
      </c>
      <c r="C16" s="7" t="s">
        <v>22</v>
      </c>
      <c r="D16" s="7" t="s">
        <v>23</v>
      </c>
      <c r="E16" s="7" t="s">
        <v>249</v>
      </c>
      <c r="F16" s="7">
        <v>138019</v>
      </c>
      <c r="G16" s="7">
        <v>2833</v>
      </c>
      <c r="H16" s="7">
        <v>1959</v>
      </c>
      <c r="I16" s="7">
        <v>0.03</v>
      </c>
      <c r="J16" s="7">
        <v>90608</v>
      </c>
      <c r="K16" s="7">
        <v>149.6</v>
      </c>
      <c r="L16" s="7">
        <v>112.07</v>
      </c>
      <c r="M16" s="7">
        <v>23.7</v>
      </c>
      <c r="N16" s="7"/>
      <c r="O16" s="7"/>
      <c r="P16" s="7"/>
      <c r="Q16" s="7">
        <v>3.3</v>
      </c>
      <c r="R16" s="7">
        <v>38.297499999999999</v>
      </c>
      <c r="S16" s="8">
        <v>-122.301</v>
      </c>
    </row>
    <row r="17" spans="1:19" hidden="1" x14ac:dyDescent="0.15">
      <c r="A17" s="6">
        <v>69</v>
      </c>
      <c r="B17" s="7" t="s">
        <v>126</v>
      </c>
      <c r="C17" s="7" t="s">
        <v>22</v>
      </c>
      <c r="D17" s="7" t="s">
        <v>23</v>
      </c>
      <c r="E17" s="7" t="s">
        <v>110</v>
      </c>
      <c r="F17" s="7">
        <v>843843</v>
      </c>
      <c r="G17" s="7">
        <v>2837</v>
      </c>
      <c r="H17" s="7">
        <v>2189</v>
      </c>
      <c r="I17" s="7">
        <v>3.2000000000000001E-2</v>
      </c>
      <c r="J17" s="7">
        <v>73375</v>
      </c>
      <c r="K17" s="7"/>
      <c r="L17" s="7">
        <v>111.4</v>
      </c>
      <c r="M17" s="7">
        <v>25.7</v>
      </c>
      <c r="N17" s="7">
        <v>48</v>
      </c>
      <c r="O17" s="7"/>
      <c r="P17" s="7"/>
      <c r="Q17" s="7">
        <v>3.4</v>
      </c>
      <c r="R17" s="7">
        <v>34.196399999999997</v>
      </c>
      <c r="S17" s="8">
        <v>-119.1815</v>
      </c>
    </row>
    <row r="18" spans="1:19" hidden="1" x14ac:dyDescent="0.15">
      <c r="A18" s="6">
        <v>222</v>
      </c>
      <c r="B18" s="7" t="s">
        <v>282</v>
      </c>
      <c r="C18" s="7" t="s">
        <v>22</v>
      </c>
      <c r="D18" s="7" t="s">
        <v>23</v>
      </c>
      <c r="E18" s="7" t="s">
        <v>249</v>
      </c>
      <c r="F18" s="7">
        <v>182155</v>
      </c>
      <c r="G18" s="7">
        <v>1445</v>
      </c>
      <c r="H18" s="7">
        <v>1081</v>
      </c>
      <c r="I18" s="7">
        <v>4.0999999999999995E-2</v>
      </c>
      <c r="J18" s="7">
        <v>54972</v>
      </c>
      <c r="K18" s="7">
        <v>108.7</v>
      </c>
      <c r="L18" s="7">
        <v>99.4</v>
      </c>
      <c r="M18" s="7"/>
      <c r="N18" s="7">
        <v>44</v>
      </c>
      <c r="O18" s="7"/>
      <c r="P18" s="7"/>
      <c r="Q18" s="7">
        <v>1.8</v>
      </c>
      <c r="R18" s="7">
        <v>40.569800000000001</v>
      </c>
      <c r="S18" s="8">
        <v>-122.36499999999999</v>
      </c>
    </row>
    <row r="19" spans="1:19" hidden="1" x14ac:dyDescent="0.15">
      <c r="A19" s="6">
        <v>12</v>
      </c>
      <c r="B19" s="7" t="s">
        <v>44</v>
      </c>
      <c r="C19" s="7" t="s">
        <v>22</v>
      </c>
      <c r="D19" s="7" t="s">
        <v>23</v>
      </c>
      <c r="E19" s="7" t="s">
        <v>20</v>
      </c>
      <c r="F19" s="7">
        <v>4599839</v>
      </c>
      <c r="G19" s="7">
        <v>2399</v>
      </c>
      <c r="H19" s="7">
        <v>1533</v>
      </c>
      <c r="I19" s="7">
        <v>3.6000000000000004E-2</v>
      </c>
      <c r="J19" s="7">
        <v>50384</v>
      </c>
      <c r="K19" s="7">
        <v>116.1</v>
      </c>
      <c r="L19" s="7">
        <v>105.53</v>
      </c>
      <c r="M19" s="7">
        <v>32.9</v>
      </c>
      <c r="N19" s="7">
        <v>84</v>
      </c>
      <c r="O19" s="7">
        <v>42.7</v>
      </c>
      <c r="P19" s="7">
        <v>48.9</v>
      </c>
      <c r="Q19" s="7">
        <v>3.8</v>
      </c>
      <c r="R19" s="7">
        <v>33.938099999999999</v>
      </c>
      <c r="S19" s="8">
        <v>-117.39490000000001</v>
      </c>
    </row>
    <row r="20" spans="1:19" hidden="1" x14ac:dyDescent="0.15">
      <c r="A20" s="6">
        <v>25</v>
      </c>
      <c r="B20" s="7" t="s">
        <v>64</v>
      </c>
      <c r="C20" s="7" t="s">
        <v>22</v>
      </c>
      <c r="D20" s="7" t="s">
        <v>23</v>
      </c>
      <c r="E20" s="7" t="s">
        <v>20</v>
      </c>
      <c r="F20" s="7">
        <v>2397382</v>
      </c>
      <c r="G20" s="7">
        <v>2068</v>
      </c>
      <c r="H20" s="7">
        <v>1518</v>
      </c>
      <c r="I20" s="7">
        <v>3.3000000000000002E-2</v>
      </c>
      <c r="J20" s="7">
        <v>65972</v>
      </c>
      <c r="K20" s="7">
        <v>120.3</v>
      </c>
      <c r="L20" s="7">
        <v>106.29</v>
      </c>
      <c r="M20" s="7">
        <v>27.1</v>
      </c>
      <c r="N20" s="7">
        <v>54</v>
      </c>
      <c r="O20" s="7">
        <v>49</v>
      </c>
      <c r="P20" s="7">
        <v>66.900000000000006</v>
      </c>
      <c r="Q20" s="7">
        <v>4</v>
      </c>
      <c r="R20" s="7">
        <v>38.567700000000002</v>
      </c>
      <c r="S20" s="8">
        <v>-121.46850000000001</v>
      </c>
    </row>
    <row r="21" spans="1:19" hidden="1" x14ac:dyDescent="0.15">
      <c r="A21" s="4">
        <v>119</v>
      </c>
      <c r="B21" s="5" t="s">
        <v>178</v>
      </c>
      <c r="C21" s="5" t="s">
        <v>22</v>
      </c>
      <c r="D21" s="5" t="s">
        <v>23</v>
      </c>
      <c r="E21" s="5" t="s">
        <v>110</v>
      </c>
      <c r="F21" s="5">
        <v>439035</v>
      </c>
      <c r="G21" s="5">
        <v>2118</v>
      </c>
      <c r="H21" s="5">
        <v>2324</v>
      </c>
      <c r="I21" s="5">
        <v>6.9000000000000006E-2</v>
      </c>
      <c r="J21" s="5">
        <v>63449</v>
      </c>
      <c r="K21" s="5">
        <v>138.30000000000001</v>
      </c>
      <c r="L21" s="5">
        <v>109.27</v>
      </c>
      <c r="M21" s="5">
        <v>23</v>
      </c>
      <c r="N21" s="5">
        <v>39</v>
      </c>
      <c r="O21" s="5"/>
      <c r="P21" s="5"/>
      <c r="Q21" s="5">
        <v>4.2</v>
      </c>
      <c r="R21" s="5">
        <v>36.688299999999998</v>
      </c>
      <c r="S21" s="9">
        <v>-121.6317</v>
      </c>
    </row>
    <row r="22" spans="1:19" hidden="1" x14ac:dyDescent="0.15">
      <c r="A22" s="6">
        <v>16</v>
      </c>
      <c r="B22" s="7" t="s">
        <v>50</v>
      </c>
      <c r="C22" s="7" t="s">
        <v>22</v>
      </c>
      <c r="D22" s="7" t="s">
        <v>23</v>
      </c>
      <c r="E22" s="7" t="s">
        <v>20</v>
      </c>
      <c r="F22" s="7">
        <v>3298634</v>
      </c>
      <c r="G22" s="7">
        <v>3016</v>
      </c>
      <c r="H22" s="7">
        <v>2055</v>
      </c>
      <c r="I22" s="7">
        <v>2.8999999999999998E-2</v>
      </c>
      <c r="J22" s="7">
        <v>72637</v>
      </c>
      <c r="K22" s="7">
        <v>136.19999999999999</v>
      </c>
      <c r="L22" s="7">
        <v>115.15</v>
      </c>
      <c r="M22" s="7">
        <v>26</v>
      </c>
      <c r="N22" s="7">
        <v>49</v>
      </c>
      <c r="O22" s="7">
        <v>53.3</v>
      </c>
      <c r="P22" s="7">
        <v>43</v>
      </c>
      <c r="Q22" s="7">
        <v>5.3</v>
      </c>
      <c r="R22" s="7">
        <v>32.831299999999999</v>
      </c>
      <c r="S22" s="8">
        <v>-117.12220000000001</v>
      </c>
    </row>
    <row r="23" spans="1:19" hidden="1" x14ac:dyDescent="0.15">
      <c r="A23" s="4">
        <v>11</v>
      </c>
      <c r="B23" s="5" t="s">
        <v>43</v>
      </c>
      <c r="C23" s="5" t="s">
        <v>22</v>
      </c>
      <c r="D23" s="5" t="s">
        <v>23</v>
      </c>
      <c r="E23" s="5" t="s">
        <v>20</v>
      </c>
      <c r="F23" s="5">
        <v>4749008</v>
      </c>
      <c r="G23" s="5">
        <v>3422</v>
      </c>
      <c r="H23" s="5">
        <v>3000</v>
      </c>
      <c r="I23" s="5">
        <v>2.4E-2</v>
      </c>
      <c r="J23" s="5">
        <v>123711</v>
      </c>
      <c r="K23" s="5">
        <v>178.6</v>
      </c>
      <c r="L23" s="5">
        <v>119.83</v>
      </c>
      <c r="M23" s="5">
        <v>33.6</v>
      </c>
      <c r="N23" s="5">
        <v>44</v>
      </c>
      <c r="O23" s="5">
        <v>88.7</v>
      </c>
      <c r="P23" s="5">
        <v>72.3</v>
      </c>
      <c r="Q23" s="5">
        <v>6.8</v>
      </c>
      <c r="R23" s="5">
        <v>37.755800000000001</v>
      </c>
      <c r="S23" s="9">
        <v>-122.4449</v>
      </c>
    </row>
    <row r="24" spans="1:19" hidden="1" x14ac:dyDescent="0.15">
      <c r="A24" s="6">
        <v>34</v>
      </c>
      <c r="B24" s="7" t="s">
        <v>76</v>
      </c>
      <c r="C24" s="7" t="s">
        <v>22</v>
      </c>
      <c r="D24" s="7" t="s">
        <v>23</v>
      </c>
      <c r="E24" s="7" t="s">
        <v>20</v>
      </c>
      <c r="F24" s="7">
        <v>2000468</v>
      </c>
      <c r="G24" s="7">
        <v>3016</v>
      </c>
      <c r="H24" s="7">
        <v>2763</v>
      </c>
      <c r="I24" s="7">
        <v>2.1000000000000001E-2</v>
      </c>
      <c r="J24" s="7">
        <v>136338</v>
      </c>
      <c r="K24" s="7">
        <v>173.5</v>
      </c>
      <c r="L24" s="7">
        <v>111.64</v>
      </c>
      <c r="M24" s="7">
        <v>29</v>
      </c>
      <c r="N24" s="7">
        <v>44</v>
      </c>
      <c r="O24" s="7">
        <v>50.5</v>
      </c>
      <c r="P24" s="7">
        <v>61.5</v>
      </c>
      <c r="Q24" s="7">
        <v>6.4</v>
      </c>
      <c r="R24" s="7">
        <v>37.301200000000001</v>
      </c>
      <c r="S24" s="8">
        <v>-121.848</v>
      </c>
    </row>
    <row r="25" spans="1:19" hidden="1" x14ac:dyDescent="0.15">
      <c r="A25" s="4">
        <v>168</v>
      </c>
      <c r="B25" s="5" t="s">
        <v>230</v>
      </c>
      <c r="C25" s="5" t="s">
        <v>22</v>
      </c>
      <c r="D25" s="5" t="s">
        <v>23</v>
      </c>
      <c r="E25" s="5" t="s">
        <v>110</v>
      </c>
      <c r="F25" s="5">
        <v>282424</v>
      </c>
      <c r="G25" s="5">
        <v>2904</v>
      </c>
      <c r="H25" s="5">
        <v>1688</v>
      </c>
      <c r="I25" s="5">
        <v>2.4E-2</v>
      </c>
      <c r="J25" s="5">
        <v>66617</v>
      </c>
      <c r="K25" s="5">
        <v>136.1</v>
      </c>
      <c r="L25" s="5">
        <v>108.56</v>
      </c>
      <c r="M25" s="5">
        <v>23.1</v>
      </c>
      <c r="N25" s="5">
        <v>55</v>
      </c>
      <c r="O25" s="5"/>
      <c r="P25" s="5"/>
      <c r="Q25" s="5">
        <v>2.6</v>
      </c>
      <c r="R25" s="5">
        <v>35.2669</v>
      </c>
      <c r="S25" s="9">
        <v>-120.669</v>
      </c>
    </row>
    <row r="26" spans="1:19" hidden="1" x14ac:dyDescent="0.15">
      <c r="A26" s="4">
        <v>175</v>
      </c>
      <c r="B26" s="5" t="s">
        <v>238</v>
      </c>
      <c r="C26" s="5" t="s">
        <v>22</v>
      </c>
      <c r="D26" s="5" t="s">
        <v>23</v>
      </c>
      <c r="E26" s="5" t="s">
        <v>110</v>
      </c>
      <c r="F26" s="5">
        <v>270861</v>
      </c>
      <c r="G26" s="5">
        <v>3350</v>
      </c>
      <c r="H26" s="5">
        <v>2602</v>
      </c>
      <c r="I26" s="5">
        <v>4.4999999999999998E-2</v>
      </c>
      <c r="J26" s="5">
        <v>85554</v>
      </c>
      <c r="K26" s="5">
        <v>163.9</v>
      </c>
      <c r="L26" s="5">
        <v>109.08</v>
      </c>
      <c r="M26" s="5">
        <v>26.8</v>
      </c>
      <c r="N26" s="5">
        <v>35</v>
      </c>
      <c r="O26" s="5"/>
      <c r="P26" s="5"/>
      <c r="Q26" s="5">
        <v>4.8</v>
      </c>
      <c r="R26" s="5">
        <v>36.978900000000003</v>
      </c>
      <c r="S26" s="9">
        <v>-122.0346</v>
      </c>
    </row>
    <row r="27" spans="1:19" hidden="1" x14ac:dyDescent="0.15">
      <c r="A27" s="6">
        <v>118</v>
      </c>
      <c r="B27" s="7" t="s">
        <v>177</v>
      </c>
      <c r="C27" s="7" t="s">
        <v>22</v>
      </c>
      <c r="D27" s="7" t="s">
        <v>23</v>
      </c>
      <c r="E27" s="7" t="s">
        <v>110</v>
      </c>
      <c r="F27" s="7">
        <v>448229</v>
      </c>
      <c r="G27" s="7">
        <v>2733</v>
      </c>
      <c r="H27" s="7">
        <v>2490</v>
      </c>
      <c r="I27" s="7">
        <v>3.1E-2</v>
      </c>
      <c r="J27" s="7">
        <v>73995</v>
      </c>
      <c r="K27" s="7">
        <v>143</v>
      </c>
      <c r="L27" s="7">
        <v>111.81</v>
      </c>
      <c r="M27" s="7">
        <v>19.600000000000001</v>
      </c>
      <c r="N27" s="7">
        <v>43</v>
      </c>
      <c r="O27" s="7"/>
      <c r="P27" s="7"/>
      <c r="Q27" s="7">
        <v>4.3</v>
      </c>
      <c r="R27" s="7">
        <v>34.933300000000003</v>
      </c>
      <c r="S27" s="8">
        <v>-120.4431</v>
      </c>
    </row>
    <row r="28" spans="1:19" hidden="1" x14ac:dyDescent="0.15">
      <c r="A28" s="4">
        <v>109</v>
      </c>
      <c r="B28" s="5" t="s">
        <v>169</v>
      </c>
      <c r="C28" s="5" t="s">
        <v>22</v>
      </c>
      <c r="D28" s="5" t="s">
        <v>23</v>
      </c>
      <c r="E28" s="5" t="s">
        <v>110</v>
      </c>
      <c r="F28" s="5">
        <v>488863</v>
      </c>
      <c r="G28" s="5">
        <v>2440</v>
      </c>
      <c r="H28" s="5">
        <v>1848</v>
      </c>
      <c r="I28" s="5">
        <v>2.5000000000000001E-2</v>
      </c>
      <c r="J28" s="5">
        <v>81006</v>
      </c>
      <c r="K28" s="5">
        <v>141.69999999999999</v>
      </c>
      <c r="L28" s="5">
        <v>109.81</v>
      </c>
      <c r="M28" s="5">
        <v>25.1</v>
      </c>
      <c r="N28" s="5">
        <v>32</v>
      </c>
      <c r="O28" s="5"/>
      <c r="P28" s="5"/>
      <c r="Q28" s="5">
        <v>3.4</v>
      </c>
      <c r="R28" s="5">
        <v>38.445799999999998</v>
      </c>
      <c r="S28" s="9">
        <v>-122.7067</v>
      </c>
    </row>
    <row r="29" spans="1:19" hidden="1" x14ac:dyDescent="0.15">
      <c r="A29" s="6">
        <v>74</v>
      </c>
      <c r="B29" s="7" t="s">
        <v>131</v>
      </c>
      <c r="C29" s="7" t="s">
        <v>22</v>
      </c>
      <c r="D29" s="7" t="s">
        <v>23</v>
      </c>
      <c r="E29" s="7" t="s">
        <v>110</v>
      </c>
      <c r="F29" s="7">
        <v>779233</v>
      </c>
      <c r="G29" s="7">
        <v>1915</v>
      </c>
      <c r="H29" s="7">
        <v>1257</v>
      </c>
      <c r="I29" s="7">
        <v>5.2000000000000005E-2</v>
      </c>
      <c r="J29" s="7">
        <v>57783</v>
      </c>
      <c r="K29" s="7">
        <v>113.6</v>
      </c>
      <c r="L29" s="7">
        <v>104.61</v>
      </c>
      <c r="M29" s="7">
        <v>33.299999999999997</v>
      </c>
      <c r="N29" s="7">
        <v>43</v>
      </c>
      <c r="O29" s="7">
        <v>43.7</v>
      </c>
      <c r="P29" s="7">
        <v>52.4</v>
      </c>
      <c r="Q29" s="7">
        <v>3</v>
      </c>
      <c r="R29" s="7">
        <v>37.976500000000001</v>
      </c>
      <c r="S29" s="8">
        <v>-121.3109</v>
      </c>
    </row>
    <row r="30" spans="1:19" hidden="1" x14ac:dyDescent="0.15">
      <c r="A30" s="4">
        <v>117</v>
      </c>
      <c r="B30" s="5" t="s">
        <v>176</v>
      </c>
      <c r="C30" s="5" t="s">
        <v>22</v>
      </c>
      <c r="D30" s="5" t="s">
        <v>23</v>
      </c>
      <c r="E30" s="5" t="s">
        <v>110</v>
      </c>
      <c r="F30" s="5">
        <v>453491</v>
      </c>
      <c r="G30" s="5">
        <v>2117</v>
      </c>
      <c r="H30" s="5">
        <v>1776</v>
      </c>
      <c r="I30" s="5">
        <v>3.7999999999999999E-2</v>
      </c>
      <c r="J30" s="5">
        <v>65448</v>
      </c>
      <c r="K30" s="5">
        <v>125.2</v>
      </c>
      <c r="L30" s="5">
        <v>109.38</v>
      </c>
      <c r="M30" s="5">
        <v>32.5</v>
      </c>
      <c r="N30" s="5">
        <v>40</v>
      </c>
      <c r="O30" s="5"/>
      <c r="P30" s="5"/>
      <c r="Q30" s="5">
        <v>3.9</v>
      </c>
      <c r="R30" s="5">
        <v>38.112499999999997</v>
      </c>
      <c r="S30" s="9">
        <v>-122.2342</v>
      </c>
    </row>
    <row r="31" spans="1:19" hidden="1" x14ac:dyDescent="0.15">
      <c r="A31" s="4">
        <v>114</v>
      </c>
      <c r="B31" s="5" t="s">
        <v>173</v>
      </c>
      <c r="C31" s="5" t="s">
        <v>22</v>
      </c>
      <c r="D31" s="5" t="s">
        <v>23</v>
      </c>
      <c r="E31" s="5" t="s">
        <v>110</v>
      </c>
      <c r="F31" s="5">
        <v>473117</v>
      </c>
      <c r="G31" s="5">
        <v>1748</v>
      </c>
      <c r="H31" s="5">
        <v>907</v>
      </c>
      <c r="I31" s="5">
        <v>8.199999999999999E-2</v>
      </c>
      <c r="J31" s="5">
        <v>47986</v>
      </c>
      <c r="K31" s="5">
        <v>103.6</v>
      </c>
      <c r="L31" s="5">
        <v>98.98</v>
      </c>
      <c r="M31" s="5">
        <v>22.4</v>
      </c>
      <c r="N31" s="5">
        <v>67</v>
      </c>
      <c r="O31" s="5"/>
      <c r="P31" s="5"/>
      <c r="Q31" s="5">
        <v>4.0999999999999996</v>
      </c>
      <c r="R31" s="5">
        <v>36.327599999999997</v>
      </c>
      <c r="S31" s="9">
        <v>-119.32689999999999</v>
      </c>
    </row>
    <row r="32" spans="1:19" hidden="1" x14ac:dyDescent="0.15">
      <c r="A32" s="6">
        <v>226</v>
      </c>
      <c r="B32" s="7" t="s">
        <v>287</v>
      </c>
      <c r="C32" s="7" t="s">
        <v>22</v>
      </c>
      <c r="D32" s="7" t="s">
        <v>23</v>
      </c>
      <c r="E32" s="7" t="s">
        <v>249</v>
      </c>
      <c r="F32" s="7">
        <v>181208</v>
      </c>
      <c r="G32" s="7">
        <v>1966</v>
      </c>
      <c r="H32" s="7">
        <v>1078</v>
      </c>
      <c r="I32" s="7">
        <v>6.3E-2</v>
      </c>
      <c r="J32" s="7">
        <v>51174</v>
      </c>
      <c r="K32" s="7">
        <v>108.7</v>
      </c>
      <c r="L32" s="7">
        <v>101.54</v>
      </c>
      <c r="M32" s="7">
        <v>29.1</v>
      </c>
      <c r="N32" s="7">
        <v>46</v>
      </c>
      <c r="O32" s="7"/>
      <c r="P32" s="7"/>
      <c r="Q32" s="7">
        <v>2.5</v>
      </c>
      <c r="R32" s="7">
        <v>39.1357</v>
      </c>
      <c r="S32" s="8">
        <v>-121.6383</v>
      </c>
    </row>
    <row r="33" spans="1:19" hidden="1" x14ac:dyDescent="0.15">
      <c r="A33" s="6">
        <v>150</v>
      </c>
      <c r="B33" s="7" t="s">
        <v>213</v>
      </c>
      <c r="C33" s="7" t="s">
        <v>53</v>
      </c>
      <c r="D33" s="7" t="s">
        <v>23</v>
      </c>
      <c r="E33" s="7" t="s">
        <v>110</v>
      </c>
      <c r="F33" s="7">
        <v>330758</v>
      </c>
      <c r="G33" s="7">
        <v>2492</v>
      </c>
      <c r="H33" s="7">
        <v>1712</v>
      </c>
      <c r="I33" s="7">
        <v>2.2000000000000002E-2</v>
      </c>
      <c r="J33" s="7">
        <v>89593</v>
      </c>
      <c r="K33" s="7">
        <v>118.7</v>
      </c>
      <c r="L33" s="7">
        <v>101.32</v>
      </c>
      <c r="M33" s="7">
        <v>22.1</v>
      </c>
      <c r="N33" s="7">
        <v>48</v>
      </c>
      <c r="O33" s="7"/>
      <c r="P33" s="7"/>
      <c r="Q33" s="7">
        <v>5.0999999999999996</v>
      </c>
      <c r="R33" s="7">
        <v>40.024799999999999</v>
      </c>
      <c r="S33" s="8">
        <v>-105.25239999999999</v>
      </c>
    </row>
    <row r="34" spans="1:19" hidden="1" x14ac:dyDescent="0.15">
      <c r="A34" s="4">
        <v>77</v>
      </c>
      <c r="B34" s="5" t="s">
        <v>134</v>
      </c>
      <c r="C34" s="5" t="s">
        <v>53</v>
      </c>
      <c r="D34" s="5" t="s">
        <v>23</v>
      </c>
      <c r="E34" s="5" t="s">
        <v>110</v>
      </c>
      <c r="F34" s="5">
        <v>755105</v>
      </c>
      <c r="G34" s="5">
        <v>1784</v>
      </c>
      <c r="H34" s="5">
        <v>1270</v>
      </c>
      <c r="I34" s="5">
        <v>0.03</v>
      </c>
      <c r="J34" s="5">
        <v>58736</v>
      </c>
      <c r="K34" s="5">
        <v>102.2</v>
      </c>
      <c r="L34" s="5">
        <v>96.84</v>
      </c>
      <c r="M34" s="5">
        <v>22.8</v>
      </c>
      <c r="N34" s="5">
        <v>48</v>
      </c>
      <c r="O34" s="5">
        <v>36.1</v>
      </c>
      <c r="P34" s="5">
        <v>44.7</v>
      </c>
      <c r="Q34" s="5">
        <v>2.2999999999999998</v>
      </c>
      <c r="R34" s="5">
        <v>38.867400000000004</v>
      </c>
      <c r="S34" s="9">
        <v>-104.76049999999999</v>
      </c>
    </row>
    <row r="35" spans="1:19" hidden="1" x14ac:dyDescent="0.15">
      <c r="A35" s="6">
        <v>18</v>
      </c>
      <c r="B35" s="7" t="s">
        <v>52</v>
      </c>
      <c r="C35" s="7" t="s">
        <v>53</v>
      </c>
      <c r="D35" s="7" t="s">
        <v>23</v>
      </c>
      <c r="E35" s="7" t="s">
        <v>20</v>
      </c>
      <c r="F35" s="7">
        <v>2963821</v>
      </c>
      <c r="G35" s="7">
        <v>1956</v>
      </c>
      <c r="H35" s="7">
        <v>1665</v>
      </c>
      <c r="I35" s="7">
        <v>2.7999999999999997E-2</v>
      </c>
      <c r="J35" s="7">
        <v>78150</v>
      </c>
      <c r="K35" s="7">
        <v>112.1</v>
      </c>
      <c r="L35" s="7">
        <v>109.16</v>
      </c>
      <c r="M35" s="7">
        <v>27.3</v>
      </c>
      <c r="N35" s="7">
        <v>61</v>
      </c>
      <c r="O35" s="7">
        <v>61.2</v>
      </c>
      <c r="P35" s="7">
        <v>71.8</v>
      </c>
      <c r="Q35" s="7">
        <v>5.3</v>
      </c>
      <c r="R35" s="7">
        <v>39.762</v>
      </c>
      <c r="S35" s="8">
        <v>-104.8758</v>
      </c>
    </row>
    <row r="36" spans="1:19" hidden="1" x14ac:dyDescent="0.15">
      <c r="A36" s="6">
        <v>146</v>
      </c>
      <c r="B36" s="7" t="s">
        <v>209</v>
      </c>
      <c r="C36" s="7" t="s">
        <v>53</v>
      </c>
      <c r="D36" s="7" t="s">
        <v>23</v>
      </c>
      <c r="E36" s="7" t="s">
        <v>110</v>
      </c>
      <c r="F36" s="7">
        <v>359066</v>
      </c>
      <c r="G36" s="7">
        <v>1794</v>
      </c>
      <c r="H36" s="7">
        <v>1332</v>
      </c>
      <c r="I36" s="7">
        <v>2.4E-2</v>
      </c>
      <c r="J36" s="7">
        <v>64258</v>
      </c>
      <c r="K36" s="7">
        <v>109.2</v>
      </c>
      <c r="L36" s="7">
        <v>97.98</v>
      </c>
      <c r="M36" s="7">
        <v>22.9</v>
      </c>
      <c r="N36" s="7">
        <v>51</v>
      </c>
      <c r="O36" s="7"/>
      <c r="P36" s="7"/>
      <c r="Q36" s="7">
        <v>3</v>
      </c>
      <c r="R36" s="7">
        <v>40.547699999999999</v>
      </c>
      <c r="S36" s="8">
        <v>-105.0656</v>
      </c>
    </row>
    <row r="37" spans="1:19" hidden="1" x14ac:dyDescent="0.15">
      <c r="A37" s="6">
        <v>257</v>
      </c>
      <c r="B37" s="7" t="s">
        <v>314</v>
      </c>
      <c r="C37" s="7" t="s">
        <v>53</v>
      </c>
      <c r="D37" s="7" t="s">
        <v>23</v>
      </c>
      <c r="E37" s="7" t="s">
        <v>249</v>
      </c>
      <c r="F37" s="7">
        <v>155703</v>
      </c>
      <c r="G37" s="7">
        <v>1506</v>
      </c>
      <c r="H37" s="7">
        <v>861</v>
      </c>
      <c r="I37" s="7">
        <v>3.1E-2</v>
      </c>
      <c r="J37" s="7">
        <v>52121</v>
      </c>
      <c r="K37" s="7">
        <v>98.1</v>
      </c>
      <c r="L37" s="7">
        <v>92.47</v>
      </c>
      <c r="M37" s="7">
        <v>18.100000000000001</v>
      </c>
      <c r="N37" s="7">
        <v>45</v>
      </c>
      <c r="O37" s="7"/>
      <c r="P37" s="7"/>
      <c r="Q37" s="7">
        <v>2.2999999999999998</v>
      </c>
      <c r="R37" s="7">
        <v>39.087699999999998</v>
      </c>
      <c r="S37" s="8">
        <v>-108.5673</v>
      </c>
    </row>
    <row r="38" spans="1:19" hidden="1" x14ac:dyDescent="0.15">
      <c r="A38" s="4">
        <v>151</v>
      </c>
      <c r="B38" s="5" t="s">
        <v>214</v>
      </c>
      <c r="C38" s="5" t="s">
        <v>53</v>
      </c>
      <c r="D38" s="5" t="s">
        <v>23</v>
      </c>
      <c r="E38" s="5" t="s">
        <v>110</v>
      </c>
      <c r="F38" s="5">
        <v>328981</v>
      </c>
      <c r="G38" s="5">
        <v>1405</v>
      </c>
      <c r="H38" s="5">
        <v>1162</v>
      </c>
      <c r="I38" s="5">
        <v>0.03</v>
      </c>
      <c r="J38" s="5">
        <v>56553</v>
      </c>
      <c r="K38" s="5">
        <v>106.1</v>
      </c>
      <c r="L38" s="5">
        <v>95.55</v>
      </c>
      <c r="M38" s="5">
        <v>27.5</v>
      </c>
      <c r="N38" s="5">
        <v>51</v>
      </c>
      <c r="O38" s="5"/>
      <c r="P38" s="5"/>
      <c r="Q38" s="5">
        <v>1.4</v>
      </c>
      <c r="R38" s="5">
        <v>40.415199999999999</v>
      </c>
      <c r="S38" s="9">
        <v>-104.7706</v>
      </c>
    </row>
    <row r="39" spans="1:19" hidden="1" x14ac:dyDescent="0.15">
      <c r="A39" s="6">
        <v>244</v>
      </c>
      <c r="B39" s="7" t="s">
        <v>303</v>
      </c>
      <c r="C39" s="7" t="s">
        <v>53</v>
      </c>
      <c r="D39" s="7" t="s">
        <v>23</v>
      </c>
      <c r="E39" s="7" t="s">
        <v>249</v>
      </c>
      <c r="F39" s="7">
        <v>168162</v>
      </c>
      <c r="G39" s="7">
        <v>1332</v>
      </c>
      <c r="H39" s="7">
        <v>911</v>
      </c>
      <c r="I39" s="7">
        <v>4.2999999999999997E-2</v>
      </c>
      <c r="J39" s="7">
        <v>46927</v>
      </c>
      <c r="K39" s="7">
        <v>92.2</v>
      </c>
      <c r="L39" s="7">
        <v>90.92</v>
      </c>
      <c r="M39" s="7">
        <v>21.4</v>
      </c>
      <c r="N39" s="7">
        <v>19</v>
      </c>
      <c r="O39" s="7"/>
      <c r="P39" s="7"/>
      <c r="Q39" s="7">
        <v>2.2000000000000002</v>
      </c>
      <c r="R39" s="7">
        <v>38.270099999999999</v>
      </c>
      <c r="S39" s="8">
        <v>-104.6114</v>
      </c>
    </row>
    <row r="40" spans="1:19" hidden="1" x14ac:dyDescent="0.15">
      <c r="A40" s="6">
        <v>76</v>
      </c>
      <c r="B40" s="7" t="s">
        <v>133</v>
      </c>
      <c r="C40" s="7" t="s">
        <v>36</v>
      </c>
      <c r="D40" s="7" t="s">
        <v>29</v>
      </c>
      <c r="E40" s="7" t="s">
        <v>110</v>
      </c>
      <c r="F40" s="7">
        <v>760822</v>
      </c>
      <c r="G40" s="7">
        <v>2356</v>
      </c>
      <c r="H40" s="7">
        <v>1240</v>
      </c>
      <c r="I40" s="7">
        <v>2.8999999999999998E-2</v>
      </c>
      <c r="J40" s="7">
        <v>62885</v>
      </c>
      <c r="K40" s="7"/>
      <c r="L40" s="7">
        <v>99.97</v>
      </c>
      <c r="M40" s="7">
        <v>27.1</v>
      </c>
      <c r="N40" s="7">
        <v>41</v>
      </c>
      <c r="O40" s="7"/>
      <c r="P40" s="7"/>
      <c r="Q40" s="7">
        <v>2.2999999999999998</v>
      </c>
      <c r="R40" s="7">
        <v>26.644300000000001</v>
      </c>
      <c r="S40" s="8">
        <v>-81.995699999999999</v>
      </c>
    </row>
    <row r="41" spans="1:19" hidden="1" x14ac:dyDescent="0.15">
      <c r="A41" s="4">
        <v>166</v>
      </c>
      <c r="B41" s="5" t="s">
        <v>228</v>
      </c>
      <c r="C41" s="5" t="s">
        <v>36</v>
      </c>
      <c r="D41" s="5" t="s">
        <v>29</v>
      </c>
      <c r="E41" s="5" t="s">
        <v>110</v>
      </c>
      <c r="F41" s="5">
        <v>286973</v>
      </c>
      <c r="G41" s="5">
        <v>1829</v>
      </c>
      <c r="H41" s="5">
        <v>1220</v>
      </c>
      <c r="I41" s="5">
        <v>1.9E-2</v>
      </c>
      <c r="J41" s="5">
        <v>64660</v>
      </c>
      <c r="K41" s="5">
        <v>104.7</v>
      </c>
      <c r="L41" s="5">
        <v>96.9</v>
      </c>
      <c r="M41" s="5">
        <v>24.1</v>
      </c>
      <c r="N41" s="5">
        <v>39</v>
      </c>
      <c r="O41" s="5"/>
      <c r="P41" s="5"/>
      <c r="Q41" s="5">
        <v>0.9</v>
      </c>
      <c r="R41" s="5">
        <v>30.747699999999998</v>
      </c>
      <c r="S41" s="9">
        <v>-86.578500000000005</v>
      </c>
    </row>
    <row r="42" spans="1:19" hidden="1" x14ac:dyDescent="0.15">
      <c r="A42" s="6">
        <v>86</v>
      </c>
      <c r="B42" s="7" t="s">
        <v>145</v>
      </c>
      <c r="C42" s="7" t="s">
        <v>36</v>
      </c>
      <c r="D42" s="7" t="s">
        <v>29</v>
      </c>
      <c r="E42" s="7" t="s">
        <v>110</v>
      </c>
      <c r="F42" s="7">
        <v>668921</v>
      </c>
      <c r="G42" s="7">
        <v>1863</v>
      </c>
      <c r="H42" s="7">
        <v>1141</v>
      </c>
      <c r="I42" s="7">
        <v>2.5000000000000001E-2</v>
      </c>
      <c r="J42" s="7">
        <v>53559</v>
      </c>
      <c r="K42" s="7"/>
      <c r="L42" s="7">
        <v>97.84</v>
      </c>
      <c r="M42" s="7">
        <v>26.6</v>
      </c>
      <c r="N42" s="7">
        <v>43</v>
      </c>
      <c r="O42" s="7"/>
      <c r="P42" s="7"/>
      <c r="Q42" s="7">
        <v>2.4</v>
      </c>
      <c r="R42" s="7">
        <v>28.905000000000001</v>
      </c>
      <c r="S42" s="8">
        <v>-81.213700000000003</v>
      </c>
    </row>
    <row r="43" spans="1:19" hidden="1" x14ac:dyDescent="0.15">
      <c r="A43" s="4">
        <v>148</v>
      </c>
      <c r="B43" s="5" t="s">
        <v>211</v>
      </c>
      <c r="C43" s="5" t="s">
        <v>36</v>
      </c>
      <c r="D43" s="5" t="s">
        <v>29</v>
      </c>
      <c r="E43" s="5" t="s">
        <v>110</v>
      </c>
      <c r="F43" s="5">
        <v>339247</v>
      </c>
      <c r="G43" s="5">
        <v>1630</v>
      </c>
      <c r="H43" s="5">
        <v>1007</v>
      </c>
      <c r="I43" s="5">
        <v>0.02</v>
      </c>
      <c r="J43" s="5">
        <v>50623</v>
      </c>
      <c r="K43" s="5">
        <v>97.3</v>
      </c>
      <c r="L43" s="5">
        <v>95.91</v>
      </c>
      <c r="M43" s="5">
        <v>23.2</v>
      </c>
      <c r="N43" s="5">
        <v>40</v>
      </c>
      <c r="O43" s="5"/>
      <c r="P43" s="5"/>
      <c r="Q43" s="5">
        <v>4</v>
      </c>
      <c r="R43" s="5">
        <v>29.680399999999999</v>
      </c>
      <c r="S43" s="9">
        <v>-82.3459</v>
      </c>
    </row>
    <row r="44" spans="1:19" hidden="1" x14ac:dyDescent="0.15">
      <c r="A44" s="4">
        <v>38</v>
      </c>
      <c r="B44" s="5" t="s">
        <v>83</v>
      </c>
      <c r="C44" s="5" t="s">
        <v>36</v>
      </c>
      <c r="D44" s="5" t="s">
        <v>29</v>
      </c>
      <c r="E44" s="5" t="s">
        <v>20</v>
      </c>
      <c r="F44" s="5">
        <v>1605848</v>
      </c>
      <c r="G44" s="5">
        <v>1657</v>
      </c>
      <c r="H44" s="5">
        <v>1195</v>
      </c>
      <c r="I44" s="5">
        <v>2.1000000000000001E-2</v>
      </c>
      <c r="J44" s="5">
        <v>59271</v>
      </c>
      <c r="K44" s="5">
        <v>99</v>
      </c>
      <c r="L44" s="5">
        <v>98.73</v>
      </c>
      <c r="M44" s="5">
        <v>27.5</v>
      </c>
      <c r="N44" s="5">
        <v>46</v>
      </c>
      <c r="O44" s="5">
        <v>25.6</v>
      </c>
      <c r="P44" s="5">
        <v>40.5</v>
      </c>
      <c r="Q44" s="5">
        <v>2.6</v>
      </c>
      <c r="R44" s="5">
        <v>30.3322</v>
      </c>
      <c r="S44" s="9">
        <v>-81.674899999999994</v>
      </c>
    </row>
    <row r="45" spans="1:19" hidden="1" x14ac:dyDescent="0.15">
      <c r="A45" s="6">
        <v>79</v>
      </c>
      <c r="B45" s="7" t="s">
        <v>137</v>
      </c>
      <c r="C45" s="7" t="s">
        <v>36</v>
      </c>
      <c r="D45" s="7" t="s">
        <v>29</v>
      </c>
      <c r="E45" s="7" t="s">
        <v>110</v>
      </c>
      <c r="F45" s="7">
        <v>725046</v>
      </c>
      <c r="G45" s="7">
        <v>1674</v>
      </c>
      <c r="H45" s="7">
        <v>1010</v>
      </c>
      <c r="I45" s="7">
        <v>2.7000000000000003E-2</v>
      </c>
      <c r="J45" s="7">
        <v>43556</v>
      </c>
      <c r="K45" s="7">
        <v>96.4</v>
      </c>
      <c r="L45" s="7">
        <v>96.17</v>
      </c>
      <c r="M45" s="7">
        <v>25.7</v>
      </c>
      <c r="N45" s="7">
        <v>41</v>
      </c>
      <c r="O45" s="7"/>
      <c r="P45" s="7"/>
      <c r="Q45" s="7">
        <v>1.6</v>
      </c>
      <c r="R45" s="7">
        <v>28.055700000000002</v>
      </c>
      <c r="S45" s="8">
        <v>-81.954499999999996</v>
      </c>
    </row>
    <row r="46" spans="1:19" hidden="1" x14ac:dyDescent="0.15">
      <c r="A46" s="4">
        <v>7</v>
      </c>
      <c r="B46" s="5" t="s">
        <v>35</v>
      </c>
      <c r="C46" s="5" t="s">
        <v>36</v>
      </c>
      <c r="D46" s="5" t="s">
        <v>29</v>
      </c>
      <c r="E46" s="5" t="s">
        <v>20</v>
      </c>
      <c r="F46" s="5">
        <v>6138333</v>
      </c>
      <c r="G46" s="5">
        <v>3201</v>
      </c>
      <c r="H46" s="5">
        <v>1670</v>
      </c>
      <c r="I46" s="5">
        <v>1.9E-2</v>
      </c>
      <c r="J46" s="5">
        <v>73522</v>
      </c>
      <c r="K46" s="5">
        <v>110.1</v>
      </c>
      <c r="L46" s="5">
        <v>109.92</v>
      </c>
      <c r="M46" s="5">
        <v>29.6</v>
      </c>
      <c r="N46" s="5">
        <v>45</v>
      </c>
      <c r="O46" s="5">
        <v>76.599999999999994</v>
      </c>
      <c r="P46" s="5">
        <v>64</v>
      </c>
      <c r="Q46" s="5">
        <v>5.2</v>
      </c>
      <c r="R46" s="5">
        <v>25.783999999999999</v>
      </c>
      <c r="S46" s="9">
        <v>-80.210099999999997</v>
      </c>
    </row>
    <row r="47" spans="1:19" hidden="1" x14ac:dyDescent="0.15">
      <c r="A47" s="6">
        <v>142</v>
      </c>
      <c r="B47" s="7" t="s">
        <v>204</v>
      </c>
      <c r="C47" s="7" t="s">
        <v>36</v>
      </c>
      <c r="D47" s="7" t="s">
        <v>29</v>
      </c>
      <c r="E47" s="7" t="s">
        <v>110</v>
      </c>
      <c r="F47" s="7">
        <v>375752</v>
      </c>
      <c r="G47" s="7">
        <v>3346</v>
      </c>
      <c r="H47" s="7">
        <v>1577</v>
      </c>
      <c r="I47" s="7">
        <v>2.2000000000000002E-2</v>
      </c>
      <c r="J47" s="7">
        <v>117984</v>
      </c>
      <c r="K47" s="7">
        <v>109.4</v>
      </c>
      <c r="L47" s="7">
        <v>102.19</v>
      </c>
      <c r="M47" s="7">
        <v>24.5</v>
      </c>
      <c r="N47" s="7">
        <v>38</v>
      </c>
      <c r="O47" s="7"/>
      <c r="P47" s="7"/>
      <c r="Q47" s="7">
        <v>1.9</v>
      </c>
      <c r="R47" s="7">
        <v>26.150400000000001</v>
      </c>
      <c r="S47" s="8">
        <v>-81.793599999999998</v>
      </c>
    </row>
    <row r="48" spans="1:19" hidden="1" x14ac:dyDescent="0.15">
      <c r="A48" s="4">
        <v>70</v>
      </c>
      <c r="B48" s="5" t="s">
        <v>127</v>
      </c>
      <c r="C48" s="5" t="s">
        <v>36</v>
      </c>
      <c r="D48" s="5" t="s">
        <v>29</v>
      </c>
      <c r="E48" s="5" t="s">
        <v>110</v>
      </c>
      <c r="F48" s="5">
        <v>833716</v>
      </c>
      <c r="G48" s="5">
        <v>2174</v>
      </c>
      <c r="H48" s="5">
        <v>1378</v>
      </c>
      <c r="I48" s="5">
        <v>2.2000000000000002E-2</v>
      </c>
      <c r="J48" s="5">
        <v>69376</v>
      </c>
      <c r="K48" s="5"/>
      <c r="L48" s="5">
        <v>99.31</v>
      </c>
      <c r="M48" s="5">
        <v>25.9</v>
      </c>
      <c r="N48" s="5">
        <v>43</v>
      </c>
      <c r="O48" s="5"/>
      <c r="P48" s="5"/>
      <c r="Q48" s="5">
        <v>3</v>
      </c>
      <c r="R48" s="5">
        <v>27.057600000000001</v>
      </c>
      <c r="S48" s="9">
        <v>-82.197699999999998</v>
      </c>
    </row>
    <row r="49" spans="1:19" hidden="1" x14ac:dyDescent="0.15">
      <c r="A49" s="4">
        <v>141</v>
      </c>
      <c r="B49" s="5" t="s">
        <v>203</v>
      </c>
      <c r="C49" s="5" t="s">
        <v>36</v>
      </c>
      <c r="D49" s="5" t="s">
        <v>29</v>
      </c>
      <c r="E49" s="5" t="s">
        <v>110</v>
      </c>
      <c r="F49" s="5">
        <v>375908</v>
      </c>
      <c r="G49" s="5">
        <v>1602</v>
      </c>
      <c r="H49" s="5">
        <v>983</v>
      </c>
      <c r="I49" s="5">
        <v>2.7999999999999997E-2</v>
      </c>
      <c r="J49" s="5">
        <v>45152</v>
      </c>
      <c r="K49" s="5">
        <v>94.5</v>
      </c>
      <c r="L49" s="5">
        <v>93.96</v>
      </c>
      <c r="M49" s="5">
        <v>25</v>
      </c>
      <c r="N49" s="5">
        <v>42</v>
      </c>
      <c r="O49" s="5"/>
      <c r="P49" s="5"/>
      <c r="Q49" s="5">
        <v>0.7</v>
      </c>
      <c r="R49" s="5">
        <v>29.178000000000001</v>
      </c>
      <c r="S49" s="9">
        <v>-82.1511</v>
      </c>
    </row>
    <row r="50" spans="1:19" hidden="1" x14ac:dyDescent="0.15">
      <c r="A50" s="4">
        <v>21</v>
      </c>
      <c r="B50" s="5" t="s">
        <v>58</v>
      </c>
      <c r="C50" s="5" t="s">
        <v>36</v>
      </c>
      <c r="D50" s="5" t="s">
        <v>29</v>
      </c>
      <c r="E50" s="5" t="s">
        <v>20</v>
      </c>
      <c r="F50" s="5">
        <v>2673376</v>
      </c>
      <c r="G50" s="5">
        <v>1974</v>
      </c>
      <c r="H50" s="5">
        <v>1536</v>
      </c>
      <c r="I50" s="5">
        <v>2.3E-2</v>
      </c>
      <c r="J50" s="5">
        <v>53102</v>
      </c>
      <c r="K50" s="5">
        <v>101.4</v>
      </c>
      <c r="L50" s="5">
        <v>99.82</v>
      </c>
      <c r="M50" s="5">
        <v>28.7</v>
      </c>
      <c r="N50" s="5">
        <v>44</v>
      </c>
      <c r="O50" s="5">
        <v>41.1</v>
      </c>
      <c r="P50" s="5">
        <v>56.8</v>
      </c>
      <c r="Q50" s="5">
        <v>3.3</v>
      </c>
      <c r="R50" s="5">
        <v>28.4773</v>
      </c>
      <c r="S50" s="9">
        <v>-81.337000000000003</v>
      </c>
    </row>
    <row r="51" spans="1:19" hidden="1" x14ac:dyDescent="0.15">
      <c r="A51" s="6">
        <v>92</v>
      </c>
      <c r="B51" s="7" t="s">
        <v>152</v>
      </c>
      <c r="C51" s="7" t="s">
        <v>36</v>
      </c>
      <c r="D51" s="7" t="s">
        <v>29</v>
      </c>
      <c r="E51" s="7" t="s">
        <v>110</v>
      </c>
      <c r="F51" s="7">
        <v>606612</v>
      </c>
      <c r="G51" s="7">
        <v>1874</v>
      </c>
      <c r="H51" s="7">
        <v>1233</v>
      </c>
      <c r="I51" s="7">
        <v>2.2000000000000002E-2</v>
      </c>
      <c r="J51" s="7">
        <v>55477</v>
      </c>
      <c r="K51" s="7"/>
      <c r="L51" s="7">
        <v>98.96</v>
      </c>
      <c r="M51" s="7">
        <v>24.9</v>
      </c>
      <c r="N51" s="7">
        <v>42</v>
      </c>
      <c r="O51" s="7"/>
      <c r="P51" s="7"/>
      <c r="Q51" s="7">
        <v>1.9</v>
      </c>
      <c r="R51" s="7">
        <v>27.963100000000001</v>
      </c>
      <c r="S51" s="8">
        <v>-80.659300000000002</v>
      </c>
    </row>
    <row r="52" spans="1:19" hidden="1" x14ac:dyDescent="0.15">
      <c r="A52" s="4">
        <v>233</v>
      </c>
      <c r="B52" s="5" t="s">
        <v>293</v>
      </c>
      <c r="C52" s="5" t="s">
        <v>36</v>
      </c>
      <c r="D52" s="5" t="s">
        <v>29</v>
      </c>
      <c r="E52" s="5" t="s">
        <v>249</v>
      </c>
      <c r="F52" s="5">
        <v>175216</v>
      </c>
      <c r="G52" s="5">
        <v>1687</v>
      </c>
      <c r="H52" s="5">
        <v>1216</v>
      </c>
      <c r="I52" s="5">
        <v>2.1000000000000001E-2</v>
      </c>
      <c r="J52" s="5">
        <v>53980</v>
      </c>
      <c r="K52" s="5">
        <v>101.9</v>
      </c>
      <c r="L52" s="5">
        <v>96.82</v>
      </c>
      <c r="M52" s="5">
        <v>22.5</v>
      </c>
      <c r="N52" s="5">
        <v>42</v>
      </c>
      <c r="O52" s="5"/>
      <c r="P52" s="5"/>
      <c r="Q52" s="5">
        <v>1.5</v>
      </c>
      <c r="R52" s="5">
        <v>30.1995</v>
      </c>
      <c r="S52" s="9">
        <v>-85.600300000000004</v>
      </c>
    </row>
    <row r="53" spans="1:19" hidden="1" x14ac:dyDescent="0.15">
      <c r="A53" s="6">
        <v>106</v>
      </c>
      <c r="B53" s="7" t="s">
        <v>166</v>
      </c>
      <c r="C53" s="7" t="s">
        <v>36</v>
      </c>
      <c r="D53" s="7" t="s">
        <v>29</v>
      </c>
      <c r="E53" s="7" t="s">
        <v>110</v>
      </c>
      <c r="F53" s="7">
        <v>509905</v>
      </c>
      <c r="G53" s="7">
        <v>1538</v>
      </c>
      <c r="H53" s="7">
        <v>1077</v>
      </c>
      <c r="I53" s="7">
        <v>2.3E-2</v>
      </c>
      <c r="J53" s="7">
        <v>52548</v>
      </c>
      <c r="K53" s="7">
        <v>97.9</v>
      </c>
      <c r="L53" s="7">
        <v>95.82</v>
      </c>
      <c r="M53" s="7">
        <v>24.5</v>
      </c>
      <c r="N53" s="7">
        <v>45</v>
      </c>
      <c r="O53" s="7"/>
      <c r="P53" s="7"/>
      <c r="Q53" s="7">
        <v>1.6</v>
      </c>
      <c r="R53" s="7">
        <v>30.441299999999998</v>
      </c>
      <c r="S53" s="8">
        <v>-87.191100000000006</v>
      </c>
    </row>
    <row r="54" spans="1:19" hidden="1" x14ac:dyDescent="0.15">
      <c r="A54" s="4">
        <v>219</v>
      </c>
      <c r="B54" s="5" t="s">
        <v>278</v>
      </c>
      <c r="C54" s="5" t="s">
        <v>36</v>
      </c>
      <c r="D54" s="5" t="s">
        <v>29</v>
      </c>
      <c r="E54" s="5" t="s">
        <v>249</v>
      </c>
      <c r="F54" s="5">
        <v>186847</v>
      </c>
      <c r="G54" s="5">
        <v>2898</v>
      </c>
      <c r="H54" s="5">
        <v>1095</v>
      </c>
      <c r="I54" s="5">
        <v>0.03</v>
      </c>
      <c r="J54" s="5">
        <v>51677</v>
      </c>
      <c r="K54" s="5">
        <v>100.3</v>
      </c>
      <c r="L54" s="5">
        <v>96.3</v>
      </c>
      <c r="M54" s="5">
        <v>24.2</v>
      </c>
      <c r="N54" s="5"/>
      <c r="O54" s="5"/>
      <c r="P54" s="5"/>
      <c r="Q54" s="5">
        <v>0</v>
      </c>
      <c r="R54" s="5">
        <v>26.894100000000002</v>
      </c>
      <c r="S54" s="9">
        <v>-82.051299999999998</v>
      </c>
    </row>
    <row r="55" spans="1:19" hidden="1" x14ac:dyDescent="0.15">
      <c r="A55" s="6">
        <v>251</v>
      </c>
      <c r="B55" s="7" t="s">
        <v>308</v>
      </c>
      <c r="C55" s="7" t="s">
        <v>36</v>
      </c>
      <c r="D55" s="7" t="s">
        <v>29</v>
      </c>
      <c r="E55" s="7" t="s">
        <v>249</v>
      </c>
      <c r="F55" s="7">
        <v>159788</v>
      </c>
      <c r="G55" s="7">
        <v>2375</v>
      </c>
      <c r="H55" s="7">
        <v>1094</v>
      </c>
      <c r="I55" s="7">
        <v>2.6000000000000002E-2</v>
      </c>
      <c r="J55" s="7">
        <v>95109</v>
      </c>
      <c r="K55" s="7"/>
      <c r="L55" s="7">
        <v>98.16</v>
      </c>
      <c r="M55" s="7"/>
      <c r="N55" s="7">
        <v>34</v>
      </c>
      <c r="O55" s="7"/>
      <c r="P55" s="7"/>
      <c r="Q55" s="7">
        <v>0</v>
      </c>
      <c r="R55" s="7">
        <v>27.7822</v>
      </c>
      <c r="S55" s="8">
        <v>-80.481899999999996</v>
      </c>
    </row>
    <row r="56" spans="1:19" hidden="1" x14ac:dyDescent="0.15">
      <c r="A56" s="4">
        <v>320</v>
      </c>
      <c r="B56" s="5" t="s">
        <v>370</v>
      </c>
      <c r="C56" s="5" t="s">
        <v>36</v>
      </c>
      <c r="D56" s="5" t="s">
        <v>29</v>
      </c>
      <c r="E56" s="5" t="s">
        <v>249</v>
      </c>
      <c r="F56" s="5">
        <v>101235</v>
      </c>
      <c r="G56" s="5">
        <v>1313</v>
      </c>
      <c r="H56" s="5">
        <v>830</v>
      </c>
      <c r="I56" s="5">
        <v>3.6000000000000004E-2</v>
      </c>
      <c r="J56" s="5">
        <v>41568</v>
      </c>
      <c r="K56" s="5">
        <v>93.1</v>
      </c>
      <c r="L56" s="5">
        <v>90.02</v>
      </c>
      <c r="M56" s="5"/>
      <c r="N56" s="5">
        <v>39</v>
      </c>
      <c r="O56" s="5"/>
      <c r="P56" s="5"/>
      <c r="Q56" s="5">
        <v>0.1</v>
      </c>
      <c r="R56" s="5">
        <v>27.477</v>
      </c>
      <c r="S56" s="9">
        <v>-81.453000000000003</v>
      </c>
    </row>
    <row r="57" spans="1:19" hidden="1" x14ac:dyDescent="0.15">
      <c r="A57" s="6">
        <v>139</v>
      </c>
      <c r="B57" s="7" t="s">
        <v>201</v>
      </c>
      <c r="C57" s="7" t="s">
        <v>36</v>
      </c>
      <c r="D57" s="7" t="s">
        <v>29</v>
      </c>
      <c r="E57" s="7" t="s">
        <v>110</v>
      </c>
      <c r="F57" s="7">
        <v>384298</v>
      </c>
      <c r="G57" s="7">
        <v>1360</v>
      </c>
      <c r="H57" s="7">
        <v>1086</v>
      </c>
      <c r="I57" s="7">
        <v>2.2000000000000002E-2</v>
      </c>
      <c r="J57" s="7">
        <v>52279</v>
      </c>
      <c r="K57" s="7">
        <v>96.4</v>
      </c>
      <c r="L57" s="7">
        <v>94.97</v>
      </c>
      <c r="M57" s="7">
        <v>22.6</v>
      </c>
      <c r="N57" s="7">
        <v>43</v>
      </c>
      <c r="O57" s="7"/>
      <c r="P57" s="7"/>
      <c r="Q57" s="7">
        <v>2.6</v>
      </c>
      <c r="R57" s="7">
        <v>30.455100000000002</v>
      </c>
      <c r="S57" s="8">
        <v>-84.252700000000004</v>
      </c>
    </row>
    <row r="58" spans="1:19" hidden="1" x14ac:dyDescent="0.15">
      <c r="A58" s="4">
        <v>17</v>
      </c>
      <c r="B58" s="5" t="s">
        <v>51</v>
      </c>
      <c r="C58" s="5" t="s">
        <v>36</v>
      </c>
      <c r="D58" s="5" t="s">
        <v>29</v>
      </c>
      <c r="E58" s="5" t="s">
        <v>20</v>
      </c>
      <c r="F58" s="5">
        <v>3175275</v>
      </c>
      <c r="G58" s="5">
        <v>2146</v>
      </c>
      <c r="H58" s="5">
        <v>1488</v>
      </c>
      <c r="I58" s="5">
        <v>2.2000000000000002E-2</v>
      </c>
      <c r="J58" s="5">
        <v>58315</v>
      </c>
      <c r="K58" s="5">
        <v>101.4</v>
      </c>
      <c r="L58" s="5">
        <v>98.97</v>
      </c>
      <c r="M58" s="5">
        <v>27.2</v>
      </c>
      <c r="N58" s="5">
        <v>46</v>
      </c>
      <c r="O58" s="5">
        <v>49.5</v>
      </c>
      <c r="P58" s="5">
        <v>55.2</v>
      </c>
      <c r="Q58" s="5">
        <v>3.3</v>
      </c>
      <c r="R58" s="5">
        <v>27.994499999999999</v>
      </c>
      <c r="S58" s="9">
        <v>-82.444699999999997</v>
      </c>
    </row>
    <row r="59" spans="1:19" hidden="1" x14ac:dyDescent="0.15">
      <c r="A59" s="6">
        <v>291</v>
      </c>
      <c r="B59" s="7" t="s">
        <v>345</v>
      </c>
      <c r="C59" s="7" t="s">
        <v>36</v>
      </c>
      <c r="D59" s="7" t="s">
        <v>29</v>
      </c>
      <c r="E59" s="7" t="s">
        <v>249</v>
      </c>
      <c r="F59" s="7">
        <v>129752</v>
      </c>
      <c r="G59" s="7">
        <v>2190</v>
      </c>
      <c r="H59" s="7">
        <v>896</v>
      </c>
      <c r="I59" s="7">
        <v>3.4000000000000002E-2</v>
      </c>
      <c r="J59" s="7">
        <v>64282</v>
      </c>
      <c r="K59" s="7">
        <v>100.7</v>
      </c>
      <c r="L59" s="7">
        <v>96.07</v>
      </c>
      <c r="M59" s="7"/>
      <c r="N59" s="7"/>
      <c r="O59" s="7"/>
      <c r="P59" s="7"/>
      <c r="Q59" s="7">
        <v>0</v>
      </c>
      <c r="R59" s="7">
        <v>28.903400000000001</v>
      </c>
      <c r="S59" s="8">
        <v>-81.988699999999994</v>
      </c>
    </row>
    <row r="60" spans="1:19" hidden="1" x14ac:dyDescent="0.15">
      <c r="A60" s="6">
        <v>266</v>
      </c>
      <c r="B60" s="7" t="s">
        <v>119</v>
      </c>
      <c r="C60" s="7" t="s">
        <v>38</v>
      </c>
      <c r="D60" s="7" t="s">
        <v>29</v>
      </c>
      <c r="E60" s="7" t="s">
        <v>249</v>
      </c>
      <c r="F60" s="7">
        <v>148922</v>
      </c>
      <c r="G60" s="7">
        <v>859</v>
      </c>
      <c r="H60" s="7">
        <v>800</v>
      </c>
      <c r="I60" s="7">
        <v>3.5000000000000003E-2</v>
      </c>
      <c r="J60" s="7">
        <v>45619</v>
      </c>
      <c r="K60" s="7">
        <v>87.3</v>
      </c>
      <c r="L60" s="7">
        <v>89.38</v>
      </c>
      <c r="M60" s="7"/>
      <c r="N60" s="7">
        <v>36</v>
      </c>
      <c r="O60" s="7"/>
      <c r="P60" s="7"/>
      <c r="Q60" s="7">
        <v>1.4</v>
      </c>
      <c r="R60" s="7">
        <v>31.5776</v>
      </c>
      <c r="S60" s="8">
        <v>-84.176199999999994</v>
      </c>
    </row>
    <row r="61" spans="1:19" hidden="1" x14ac:dyDescent="0.15">
      <c r="A61" s="6">
        <v>203</v>
      </c>
      <c r="B61" s="7" t="s">
        <v>266</v>
      </c>
      <c r="C61" s="7" t="s">
        <v>38</v>
      </c>
      <c r="D61" s="7" t="s">
        <v>29</v>
      </c>
      <c r="E61" s="7" t="s">
        <v>249</v>
      </c>
      <c r="F61" s="7">
        <v>215415</v>
      </c>
      <c r="G61" s="7">
        <v>1878</v>
      </c>
      <c r="H61" s="7">
        <v>946</v>
      </c>
      <c r="I61" s="7">
        <v>2.4E-2</v>
      </c>
      <c r="J61" s="7">
        <v>48323</v>
      </c>
      <c r="K61" s="7">
        <v>95</v>
      </c>
      <c r="L61" s="7">
        <v>94.41</v>
      </c>
      <c r="M61" s="7">
        <v>22.7</v>
      </c>
      <c r="N61" s="7">
        <v>44</v>
      </c>
      <c r="O61" s="7"/>
      <c r="P61" s="7"/>
      <c r="Q61" s="7">
        <v>2.2999999999999998</v>
      </c>
      <c r="R61" s="7">
        <v>33.950800000000001</v>
      </c>
      <c r="S61" s="8">
        <v>-83.368899999999996</v>
      </c>
    </row>
    <row r="62" spans="1:19" hidden="1" x14ac:dyDescent="0.15">
      <c r="A62" s="6">
        <v>8</v>
      </c>
      <c r="B62" s="7" t="s">
        <v>37</v>
      </c>
      <c r="C62" s="7" t="s">
        <v>38</v>
      </c>
      <c r="D62" s="7" t="s">
        <v>29</v>
      </c>
      <c r="E62" s="7" t="s">
        <v>20</v>
      </c>
      <c r="F62" s="7">
        <v>6089815</v>
      </c>
      <c r="G62" s="7">
        <v>1991</v>
      </c>
      <c r="H62" s="7">
        <v>1489</v>
      </c>
      <c r="I62" s="7">
        <v>2.6000000000000002E-2</v>
      </c>
      <c r="J62" s="7">
        <v>63219</v>
      </c>
      <c r="K62" s="7">
        <v>100.3</v>
      </c>
      <c r="L62" s="7">
        <v>99.12</v>
      </c>
      <c r="M62" s="7">
        <v>32.1</v>
      </c>
      <c r="N62" s="7">
        <v>48</v>
      </c>
      <c r="O62" s="7">
        <v>47.7</v>
      </c>
      <c r="P62" s="7">
        <v>41.7</v>
      </c>
      <c r="Q62" s="7">
        <v>2.5</v>
      </c>
      <c r="R62" s="7">
        <v>33.762799999999999</v>
      </c>
      <c r="S62" s="8">
        <v>-84.421999999999997</v>
      </c>
    </row>
    <row r="63" spans="1:19" hidden="1" x14ac:dyDescent="0.15">
      <c r="A63" s="4">
        <v>91</v>
      </c>
      <c r="B63" s="5" t="s">
        <v>151</v>
      </c>
      <c r="C63" s="5" t="s">
        <v>38</v>
      </c>
      <c r="D63" s="5" t="s">
        <v>29</v>
      </c>
      <c r="E63" s="5" t="s">
        <v>110</v>
      </c>
      <c r="F63" s="5">
        <v>611000</v>
      </c>
      <c r="G63" s="5">
        <v>1280</v>
      </c>
      <c r="H63" s="5">
        <v>958</v>
      </c>
      <c r="I63" s="5">
        <v>3.2000000000000001E-2</v>
      </c>
      <c r="J63" s="5">
        <v>49432</v>
      </c>
      <c r="K63" s="5">
        <v>91.6</v>
      </c>
      <c r="L63" s="5">
        <v>91.96</v>
      </c>
      <c r="M63" s="5">
        <v>24</v>
      </c>
      <c r="N63" s="5">
        <v>42</v>
      </c>
      <c r="O63" s="5"/>
      <c r="P63" s="5"/>
      <c r="Q63" s="5">
        <v>0.7</v>
      </c>
      <c r="R63" s="5">
        <v>33.3645</v>
      </c>
      <c r="S63" s="9">
        <v>-82.070800000000006</v>
      </c>
    </row>
    <row r="64" spans="1:19" hidden="1" x14ac:dyDescent="0.15">
      <c r="A64" s="6">
        <v>311</v>
      </c>
      <c r="B64" s="7" t="s">
        <v>362</v>
      </c>
      <c r="C64" s="7" t="s">
        <v>38</v>
      </c>
      <c r="D64" s="7" t="s">
        <v>29</v>
      </c>
      <c r="E64" s="7" t="s">
        <v>249</v>
      </c>
      <c r="F64" s="7">
        <v>113495</v>
      </c>
      <c r="G64" s="7">
        <v>1531</v>
      </c>
      <c r="H64" s="7">
        <v>875</v>
      </c>
      <c r="I64" s="7">
        <v>2.6000000000000002E-2</v>
      </c>
      <c r="J64" s="7">
        <v>51400</v>
      </c>
      <c r="K64" s="7">
        <v>94.4</v>
      </c>
      <c r="L64" s="7">
        <v>90.14</v>
      </c>
      <c r="M64" s="7"/>
      <c r="N64" s="7">
        <v>37</v>
      </c>
      <c r="O64" s="7"/>
      <c r="P64" s="7"/>
      <c r="Q64" s="7">
        <v>0</v>
      </c>
      <c r="R64" s="7">
        <v>31.1449</v>
      </c>
      <c r="S64" s="8">
        <v>-81.474599999999995</v>
      </c>
    </row>
    <row r="65" spans="1:19" hidden="1" x14ac:dyDescent="0.15">
      <c r="A65" s="6">
        <v>152</v>
      </c>
      <c r="B65" s="7" t="s">
        <v>72</v>
      </c>
      <c r="C65" s="7" t="s">
        <v>38</v>
      </c>
      <c r="D65" s="7" t="s">
        <v>29</v>
      </c>
      <c r="E65" s="7" t="s">
        <v>110</v>
      </c>
      <c r="F65" s="7">
        <v>328883</v>
      </c>
      <c r="G65" s="7">
        <v>1150</v>
      </c>
      <c r="H65" s="7">
        <v>884</v>
      </c>
      <c r="I65" s="7">
        <v>3.3000000000000002E-2</v>
      </c>
      <c r="J65" s="7">
        <v>47349</v>
      </c>
      <c r="K65" s="7">
        <v>88.5</v>
      </c>
      <c r="L65" s="7">
        <v>88.99</v>
      </c>
      <c r="M65" s="7">
        <v>22.2</v>
      </c>
      <c r="N65" s="7">
        <v>42</v>
      </c>
      <c r="O65" s="7"/>
      <c r="P65" s="7"/>
      <c r="Q65" s="7">
        <v>1.6</v>
      </c>
      <c r="R65" s="7">
        <v>32.51</v>
      </c>
      <c r="S65" s="8">
        <v>-84.877099999999999</v>
      </c>
    </row>
    <row r="66" spans="1:19" hidden="1" x14ac:dyDescent="0.15">
      <c r="A66" s="4">
        <v>213</v>
      </c>
      <c r="B66" s="5" t="s">
        <v>211</v>
      </c>
      <c r="C66" s="5" t="s">
        <v>38</v>
      </c>
      <c r="D66" s="5" t="s">
        <v>29</v>
      </c>
      <c r="E66" s="5" t="s">
        <v>249</v>
      </c>
      <c r="F66" s="5">
        <v>203136</v>
      </c>
      <c r="G66" s="5">
        <v>1666</v>
      </c>
      <c r="H66" s="5">
        <v>1128</v>
      </c>
      <c r="I66" s="5">
        <v>2.1000000000000001E-2</v>
      </c>
      <c r="J66" s="5">
        <v>53920</v>
      </c>
      <c r="K66" s="5">
        <v>97</v>
      </c>
      <c r="L66" s="5">
        <v>94.04</v>
      </c>
      <c r="M66" s="5"/>
      <c r="N66" s="5">
        <v>36</v>
      </c>
      <c r="O66" s="5"/>
      <c r="P66" s="5"/>
      <c r="Q66" s="5">
        <v>0.8</v>
      </c>
      <c r="R66" s="5">
        <v>34.290199999999999</v>
      </c>
      <c r="S66" s="9">
        <v>-83.829400000000007</v>
      </c>
    </row>
    <row r="67" spans="1:19" hidden="1" x14ac:dyDescent="0.15">
      <c r="A67" s="4">
        <v>337</v>
      </c>
      <c r="B67" s="5" t="s">
        <v>386</v>
      </c>
      <c r="C67" s="5" t="s">
        <v>38</v>
      </c>
      <c r="D67" s="5" t="s">
        <v>29</v>
      </c>
      <c r="E67" s="5" t="s">
        <v>249</v>
      </c>
      <c r="F67" s="5">
        <v>81424</v>
      </c>
      <c r="G67" s="5">
        <v>1523</v>
      </c>
      <c r="H67" s="5">
        <v>1025</v>
      </c>
      <c r="I67" s="5">
        <v>2.7999999999999997E-2</v>
      </c>
      <c r="J67" s="5">
        <v>41012</v>
      </c>
      <c r="K67" s="5">
        <v>90.8</v>
      </c>
      <c r="L67" s="5">
        <v>93.58</v>
      </c>
      <c r="M67" s="5"/>
      <c r="N67" s="5"/>
      <c r="O67" s="5"/>
      <c r="P67" s="5"/>
      <c r="Q67" s="5">
        <v>0</v>
      </c>
      <c r="R67" s="5">
        <v>31.8248</v>
      </c>
      <c r="S67" s="9">
        <v>-81.613699999999994</v>
      </c>
    </row>
    <row r="68" spans="1:19" hidden="1" x14ac:dyDescent="0.15">
      <c r="A68" s="4">
        <v>189</v>
      </c>
      <c r="B68" s="5" t="s">
        <v>253</v>
      </c>
      <c r="C68" s="5" t="s">
        <v>38</v>
      </c>
      <c r="D68" s="5" t="s">
        <v>29</v>
      </c>
      <c r="E68" s="5" t="s">
        <v>249</v>
      </c>
      <c r="F68" s="5">
        <v>233802</v>
      </c>
      <c r="G68" s="5">
        <v>1122</v>
      </c>
      <c r="H68" s="5">
        <v>907</v>
      </c>
      <c r="I68" s="5">
        <v>0.03</v>
      </c>
      <c r="J68" s="5">
        <v>46875</v>
      </c>
      <c r="K68" s="5">
        <v>87.2</v>
      </c>
      <c r="L68" s="5">
        <v>87.4</v>
      </c>
      <c r="M68" s="5">
        <v>23.5</v>
      </c>
      <c r="N68" s="5">
        <v>38</v>
      </c>
      <c r="O68" s="5"/>
      <c r="P68" s="5"/>
      <c r="Q68" s="5">
        <v>1.5</v>
      </c>
      <c r="R68" s="5">
        <v>32.8065</v>
      </c>
      <c r="S68" s="9">
        <v>-83.697400000000002</v>
      </c>
    </row>
    <row r="69" spans="1:19" hidden="1" x14ac:dyDescent="0.15">
      <c r="A69" s="6">
        <v>130</v>
      </c>
      <c r="B69" s="7" t="s">
        <v>190</v>
      </c>
      <c r="C69" s="7" t="s">
        <v>38</v>
      </c>
      <c r="D69" s="7" t="s">
        <v>29</v>
      </c>
      <c r="E69" s="7" t="s">
        <v>110</v>
      </c>
      <c r="F69" s="7">
        <v>404798</v>
      </c>
      <c r="G69" s="7">
        <v>1744</v>
      </c>
      <c r="H69" s="7">
        <v>1204</v>
      </c>
      <c r="I69" s="7">
        <v>2.5000000000000001E-2</v>
      </c>
      <c r="J69" s="7">
        <v>53570</v>
      </c>
      <c r="K69" s="7">
        <v>97.3</v>
      </c>
      <c r="L69" s="7">
        <v>95.42</v>
      </c>
      <c r="M69" s="7">
        <v>24.3</v>
      </c>
      <c r="N69" s="7">
        <v>39</v>
      </c>
      <c r="O69" s="7"/>
      <c r="P69" s="7"/>
      <c r="Q69" s="7">
        <v>2.5</v>
      </c>
      <c r="R69" s="7">
        <v>32.028599999999997</v>
      </c>
      <c r="S69" s="8">
        <v>-81.182100000000005</v>
      </c>
    </row>
    <row r="70" spans="1:19" hidden="1" x14ac:dyDescent="0.15">
      <c r="A70" s="6">
        <v>268</v>
      </c>
      <c r="B70" s="7" t="s">
        <v>323</v>
      </c>
      <c r="C70" s="7" t="s">
        <v>38</v>
      </c>
      <c r="D70" s="7" t="s">
        <v>29</v>
      </c>
      <c r="E70" s="7" t="s">
        <v>249</v>
      </c>
      <c r="F70" s="7">
        <v>148126</v>
      </c>
      <c r="G70" s="7">
        <v>1384</v>
      </c>
      <c r="H70" s="7">
        <v>725</v>
      </c>
      <c r="I70" s="7">
        <v>2.7999999999999997E-2</v>
      </c>
      <c r="J70" s="7">
        <v>42585</v>
      </c>
      <c r="K70" s="7">
        <v>89.2</v>
      </c>
      <c r="L70" s="7">
        <v>88.28</v>
      </c>
      <c r="M70" s="7">
        <v>19.7</v>
      </c>
      <c r="N70" s="7">
        <v>35</v>
      </c>
      <c r="O70" s="7"/>
      <c r="P70" s="7"/>
      <c r="Q70" s="7">
        <v>0</v>
      </c>
      <c r="R70" s="7">
        <v>30.850200000000001</v>
      </c>
      <c r="S70" s="8">
        <v>-83.278800000000004</v>
      </c>
    </row>
    <row r="71" spans="1:19" hidden="1" x14ac:dyDescent="0.15">
      <c r="A71" s="6">
        <v>217</v>
      </c>
      <c r="B71" s="7" t="s">
        <v>276</v>
      </c>
      <c r="C71" s="7" t="s">
        <v>38</v>
      </c>
      <c r="D71" s="7" t="s">
        <v>29</v>
      </c>
      <c r="E71" s="7" t="s">
        <v>249</v>
      </c>
      <c r="F71" s="7">
        <v>191614</v>
      </c>
      <c r="G71" s="7">
        <v>1319</v>
      </c>
      <c r="H71" s="7">
        <v>998</v>
      </c>
      <c r="I71" s="7">
        <v>2.7999999999999997E-2</v>
      </c>
      <c r="J71" s="7">
        <v>48160</v>
      </c>
      <c r="K71" s="7">
        <v>90.5</v>
      </c>
      <c r="L71" s="7">
        <v>91.99</v>
      </c>
      <c r="M71" s="7">
        <v>20.8</v>
      </c>
      <c r="N71" s="7">
        <v>33</v>
      </c>
      <c r="O71" s="7"/>
      <c r="P71" s="7"/>
      <c r="Q71" s="7">
        <v>0</v>
      </c>
      <c r="R71" s="7">
        <v>32.5961</v>
      </c>
      <c r="S71" s="8">
        <v>-83.652699999999996</v>
      </c>
    </row>
    <row r="72" spans="1:19" x14ac:dyDescent="0.15">
      <c r="A72" s="4">
        <v>9</v>
      </c>
      <c r="B72" s="5" t="s">
        <v>39</v>
      </c>
      <c r="C72" s="5" t="s">
        <v>40</v>
      </c>
      <c r="D72" s="5" t="s">
        <v>19</v>
      </c>
      <c r="E72" s="5" t="s">
        <v>20</v>
      </c>
      <c r="F72" s="5">
        <v>4941632</v>
      </c>
      <c r="G72" s="5">
        <v>3419</v>
      </c>
      <c r="H72" s="5">
        <v>2368</v>
      </c>
      <c r="I72" s="5">
        <v>2.8999999999999998E-2</v>
      </c>
      <c r="J72" s="5">
        <v>92290</v>
      </c>
      <c r="K72" s="5">
        <v>132.6</v>
      </c>
      <c r="L72" s="5">
        <v>109.69</v>
      </c>
      <c r="M72" s="5">
        <v>31.2</v>
      </c>
      <c r="N72" s="5">
        <v>44</v>
      </c>
      <c r="O72" s="5">
        <v>82.8</v>
      </c>
      <c r="P72" s="5">
        <v>69.400000000000006</v>
      </c>
      <c r="Q72" s="5">
        <v>5</v>
      </c>
      <c r="R72" s="5">
        <v>42.318800000000003</v>
      </c>
      <c r="S72" s="9">
        <v>-71.0852</v>
      </c>
    </row>
    <row r="73" spans="1:19" x14ac:dyDescent="0.15">
      <c r="A73" s="6">
        <v>293</v>
      </c>
      <c r="B73" s="7" t="s">
        <v>347</v>
      </c>
      <c r="C73" s="7" t="s">
        <v>40</v>
      </c>
      <c r="D73" s="7" t="s">
        <v>19</v>
      </c>
      <c r="E73" s="7" t="s">
        <v>249</v>
      </c>
      <c r="F73" s="7">
        <v>129026</v>
      </c>
      <c r="G73" s="7">
        <v>1200</v>
      </c>
      <c r="H73" s="7">
        <v>1161</v>
      </c>
      <c r="I73" s="7">
        <v>0</v>
      </c>
      <c r="J73" s="7">
        <v>65050</v>
      </c>
      <c r="K73" s="7">
        <v>106.4</v>
      </c>
      <c r="L73" s="7">
        <v>95.94</v>
      </c>
      <c r="M73" s="7">
        <v>21</v>
      </c>
      <c r="N73" s="7">
        <v>40</v>
      </c>
      <c r="O73" s="7"/>
      <c r="P73" s="7"/>
      <c r="Q73" s="7">
        <v>1.6</v>
      </c>
      <c r="R73" s="7">
        <v>42.451700000000002</v>
      </c>
      <c r="S73" s="8">
        <v>-73.260499999999993</v>
      </c>
    </row>
    <row r="74" spans="1:19" x14ac:dyDescent="0.15">
      <c r="A74" s="4">
        <v>82</v>
      </c>
      <c r="B74" s="5" t="s">
        <v>141</v>
      </c>
      <c r="C74" s="5" t="s">
        <v>40</v>
      </c>
      <c r="D74" s="5" t="s">
        <v>19</v>
      </c>
      <c r="E74" s="5" t="s">
        <v>110</v>
      </c>
      <c r="F74" s="5">
        <v>699162</v>
      </c>
      <c r="G74" s="5">
        <v>1488</v>
      </c>
      <c r="H74" s="5">
        <v>1059</v>
      </c>
      <c r="I74" s="5">
        <v>3.7000000000000005E-2</v>
      </c>
      <c r="J74" s="5">
        <v>61523</v>
      </c>
      <c r="K74" s="5">
        <v>106.5</v>
      </c>
      <c r="L74" s="5">
        <v>97.79</v>
      </c>
      <c r="M74" s="5">
        <v>22.9</v>
      </c>
      <c r="N74" s="5">
        <v>41</v>
      </c>
      <c r="O74" s="5"/>
      <c r="P74" s="5"/>
      <c r="Q74" s="5">
        <v>4</v>
      </c>
      <c r="R74" s="5">
        <v>42.115499999999997</v>
      </c>
      <c r="S74" s="9">
        <v>-72.539500000000004</v>
      </c>
    </row>
    <row r="75" spans="1:19" x14ac:dyDescent="0.15">
      <c r="A75" s="4">
        <v>56</v>
      </c>
      <c r="B75" s="5" t="s">
        <v>109</v>
      </c>
      <c r="C75" s="5" t="s">
        <v>40</v>
      </c>
      <c r="D75" s="5" t="s">
        <v>19</v>
      </c>
      <c r="E75" s="5" t="s">
        <v>110</v>
      </c>
      <c r="F75" s="5">
        <v>978529</v>
      </c>
      <c r="G75" s="5">
        <v>1813</v>
      </c>
      <c r="H75" s="5">
        <v>1361</v>
      </c>
      <c r="I75" s="5">
        <v>3.3000000000000002E-2</v>
      </c>
      <c r="J75" s="5">
        <v>64540</v>
      </c>
      <c r="K75" s="5">
        <v>113.2</v>
      </c>
      <c r="L75" s="5">
        <v>100</v>
      </c>
      <c r="M75" s="5">
        <v>28.8</v>
      </c>
      <c r="N75" s="5">
        <v>42</v>
      </c>
      <c r="O75" s="5"/>
      <c r="P75" s="5"/>
      <c r="Q75" s="5">
        <v>2.1</v>
      </c>
      <c r="R75" s="5">
        <v>42.270499999999998</v>
      </c>
      <c r="S75" s="9">
        <v>-71.807900000000004</v>
      </c>
    </row>
    <row r="76" spans="1:19" hidden="1" x14ac:dyDescent="0.15">
      <c r="A76" s="4">
        <v>0</v>
      </c>
      <c r="B76" s="5" t="s">
        <v>18</v>
      </c>
      <c r="C76" s="5" t="s">
        <v>18</v>
      </c>
      <c r="D76" s="5" t="s">
        <v>19</v>
      </c>
      <c r="E76" s="5" t="s">
        <v>20</v>
      </c>
      <c r="F76" s="5">
        <v>20140470</v>
      </c>
      <c r="G76" s="5">
        <v>3272</v>
      </c>
      <c r="H76" s="5">
        <v>2323</v>
      </c>
      <c r="I76" s="5">
        <v>3.7999999999999999E-2</v>
      </c>
      <c r="J76" s="5">
        <v>85136</v>
      </c>
      <c r="K76" s="5">
        <v>128</v>
      </c>
      <c r="L76" s="5">
        <v>114.58</v>
      </c>
      <c r="M76" s="5">
        <v>36.700000000000003</v>
      </c>
      <c r="N76" s="5">
        <v>50</v>
      </c>
      <c r="O76" s="5">
        <v>88</v>
      </c>
      <c r="P76" s="5">
        <v>69.3</v>
      </c>
      <c r="Q76" s="5">
        <v>6.9</v>
      </c>
      <c r="R76" s="5">
        <v>40.694299999999998</v>
      </c>
      <c r="S76" s="9">
        <v>-73.924899999999994</v>
      </c>
    </row>
    <row r="77" spans="1:19" hidden="1" x14ac:dyDescent="0.15">
      <c r="A77" s="4">
        <v>62</v>
      </c>
      <c r="B77" s="5" t="s">
        <v>119</v>
      </c>
      <c r="C77" s="5" t="s">
        <v>18</v>
      </c>
      <c r="D77" s="5" t="s">
        <v>19</v>
      </c>
      <c r="E77" s="5" t="s">
        <v>110</v>
      </c>
      <c r="F77" s="5">
        <v>899262</v>
      </c>
      <c r="G77" s="5">
        <v>1475</v>
      </c>
      <c r="H77" s="5">
        <v>1166</v>
      </c>
      <c r="I77" s="5">
        <v>2.5000000000000001E-2</v>
      </c>
      <c r="J77" s="5">
        <v>67788</v>
      </c>
      <c r="K77" s="5">
        <v>100.1</v>
      </c>
      <c r="L77" s="5">
        <v>99.16</v>
      </c>
      <c r="M77" s="5">
        <v>23.4</v>
      </c>
      <c r="N77" s="5">
        <v>39</v>
      </c>
      <c r="O77" s="5"/>
      <c r="P77" s="5"/>
      <c r="Q77" s="5">
        <v>3.6</v>
      </c>
      <c r="R77" s="5">
        <v>42.666400000000003</v>
      </c>
      <c r="S77" s="9">
        <v>-73.798699999999997</v>
      </c>
    </row>
    <row r="78" spans="1:19" hidden="1" x14ac:dyDescent="0.15">
      <c r="A78" s="6">
        <v>186</v>
      </c>
      <c r="B78" s="7" t="s">
        <v>250</v>
      </c>
      <c r="C78" s="7" t="s">
        <v>18</v>
      </c>
      <c r="D78" s="7" t="s">
        <v>19</v>
      </c>
      <c r="E78" s="7" t="s">
        <v>249</v>
      </c>
      <c r="F78" s="7">
        <v>247138</v>
      </c>
      <c r="G78" s="7">
        <v>1743</v>
      </c>
      <c r="H78" s="7">
        <v>807</v>
      </c>
      <c r="I78" s="7">
        <v>3.1E-2</v>
      </c>
      <c r="J78" s="7">
        <v>51295</v>
      </c>
      <c r="K78" s="7">
        <v>93.3</v>
      </c>
      <c r="L78" s="7">
        <v>94.62</v>
      </c>
      <c r="M78" s="7">
        <v>19.2</v>
      </c>
      <c r="N78" s="7"/>
      <c r="O78" s="7"/>
      <c r="P78" s="7"/>
      <c r="Q78" s="7">
        <v>2.4</v>
      </c>
      <c r="R78" s="7">
        <v>42.101399999999998</v>
      </c>
      <c r="S78" s="8">
        <v>-75.909300000000002</v>
      </c>
    </row>
    <row r="79" spans="1:19" hidden="1" x14ac:dyDescent="0.15">
      <c r="A79" s="4">
        <v>48</v>
      </c>
      <c r="B79" s="5" t="s">
        <v>99</v>
      </c>
      <c r="C79" s="5" t="s">
        <v>18</v>
      </c>
      <c r="D79" s="5" t="s">
        <v>19</v>
      </c>
      <c r="E79" s="5" t="s">
        <v>20</v>
      </c>
      <c r="F79" s="5">
        <v>1166902</v>
      </c>
      <c r="G79" s="5">
        <v>1222</v>
      </c>
      <c r="H79" s="5">
        <v>971</v>
      </c>
      <c r="I79" s="5">
        <v>3.2000000000000001E-2</v>
      </c>
      <c r="J79" s="5">
        <v>56808</v>
      </c>
      <c r="K79" s="5">
        <v>97.3</v>
      </c>
      <c r="L79" s="5">
        <v>95.11</v>
      </c>
      <c r="M79" s="5">
        <v>21.7</v>
      </c>
      <c r="N79" s="5">
        <v>40</v>
      </c>
      <c r="O79" s="5">
        <v>66.599999999999994</v>
      </c>
      <c r="P79" s="5">
        <v>62.8</v>
      </c>
      <c r="Q79" s="5">
        <v>3.9</v>
      </c>
      <c r="R79" s="5">
        <v>42.901800000000001</v>
      </c>
      <c r="S79" s="9">
        <v>-78.848699999999994</v>
      </c>
    </row>
    <row r="80" spans="1:19" hidden="1" x14ac:dyDescent="0.15">
      <c r="A80" s="6">
        <v>317</v>
      </c>
      <c r="B80" s="7" t="s">
        <v>367</v>
      </c>
      <c r="C80" s="7" t="s">
        <v>18</v>
      </c>
      <c r="D80" s="7" t="s">
        <v>19</v>
      </c>
      <c r="E80" s="7" t="s">
        <v>249</v>
      </c>
      <c r="F80" s="7">
        <v>105740</v>
      </c>
      <c r="G80" s="7">
        <v>1916</v>
      </c>
      <c r="H80" s="7">
        <v>1406</v>
      </c>
      <c r="I80" s="7">
        <v>2.4E-2</v>
      </c>
      <c r="J80" s="7">
        <v>51377</v>
      </c>
      <c r="K80" s="7">
        <v>101.7</v>
      </c>
      <c r="L80" s="7">
        <v>102.35</v>
      </c>
      <c r="M80" s="7">
        <v>17</v>
      </c>
      <c r="N80" s="7">
        <v>39</v>
      </c>
      <c r="O80" s="7"/>
      <c r="P80" s="7"/>
      <c r="Q80" s="7">
        <v>3.3</v>
      </c>
      <c r="R80" s="7">
        <v>42.444200000000002</v>
      </c>
      <c r="S80" s="8">
        <v>-76.503200000000007</v>
      </c>
    </row>
    <row r="81" spans="1:19" hidden="1" x14ac:dyDescent="0.15">
      <c r="A81" s="4">
        <v>224</v>
      </c>
      <c r="B81" s="5" t="s">
        <v>285</v>
      </c>
      <c r="C81" s="5" t="s">
        <v>18</v>
      </c>
      <c r="D81" s="5" t="s">
        <v>19</v>
      </c>
      <c r="E81" s="5" t="s">
        <v>249</v>
      </c>
      <c r="F81" s="5">
        <v>181851</v>
      </c>
      <c r="G81" s="5">
        <v>1662</v>
      </c>
      <c r="H81" s="5">
        <v>1245</v>
      </c>
      <c r="I81" s="5">
        <v>2.6000000000000002E-2</v>
      </c>
      <c r="J81" s="5">
        <v>60557</v>
      </c>
      <c r="K81" s="5">
        <v>106.1</v>
      </c>
      <c r="L81" s="5">
        <v>100.09</v>
      </c>
      <c r="M81" s="5">
        <v>28.8</v>
      </c>
      <c r="N81" s="5"/>
      <c r="O81" s="5"/>
      <c r="P81" s="5"/>
      <c r="Q81" s="5">
        <v>0.9</v>
      </c>
      <c r="R81" s="5">
        <v>41.929499999999997</v>
      </c>
      <c r="S81" s="9">
        <v>-73.996799999999993</v>
      </c>
    </row>
    <row r="82" spans="1:19" hidden="1" x14ac:dyDescent="0.15">
      <c r="A82" s="6">
        <v>50</v>
      </c>
      <c r="B82" s="7" t="s">
        <v>102</v>
      </c>
      <c r="C82" s="7" t="s">
        <v>18</v>
      </c>
      <c r="D82" s="7" t="s">
        <v>19</v>
      </c>
      <c r="E82" s="7" t="s">
        <v>20</v>
      </c>
      <c r="F82" s="7">
        <v>1090135</v>
      </c>
      <c r="G82" s="7">
        <v>1303</v>
      </c>
      <c r="H82" s="7">
        <v>1009</v>
      </c>
      <c r="I82" s="7">
        <v>2.8999999999999998E-2</v>
      </c>
      <c r="J82" s="7">
        <v>58500</v>
      </c>
      <c r="K82" s="7">
        <v>96.6</v>
      </c>
      <c r="L82" s="7">
        <v>97.69</v>
      </c>
      <c r="M82" s="7">
        <v>21.6</v>
      </c>
      <c r="N82" s="7">
        <v>39</v>
      </c>
      <c r="O82" s="7">
        <v>60.7</v>
      </c>
      <c r="P82" s="7">
        <v>59.9</v>
      </c>
      <c r="Q82" s="7">
        <v>2.5</v>
      </c>
      <c r="R82" s="7">
        <v>43.167999999999999</v>
      </c>
      <c r="S82" s="8">
        <v>-77.616200000000006</v>
      </c>
    </row>
    <row r="83" spans="1:19" hidden="1" x14ac:dyDescent="0.15">
      <c r="A83" s="4">
        <v>87</v>
      </c>
      <c r="B83" s="5" t="s">
        <v>146</v>
      </c>
      <c r="C83" s="5" t="s">
        <v>18</v>
      </c>
      <c r="D83" s="5" t="s">
        <v>19</v>
      </c>
      <c r="E83" s="5" t="s">
        <v>110</v>
      </c>
      <c r="F83" s="5">
        <v>662057</v>
      </c>
      <c r="G83" s="5">
        <v>1350</v>
      </c>
      <c r="H83" s="5">
        <v>953</v>
      </c>
      <c r="I83" s="5">
        <v>0.03</v>
      </c>
      <c r="J83" s="5">
        <v>58137</v>
      </c>
      <c r="K83" s="5">
        <v>95.1</v>
      </c>
      <c r="L83" s="5">
        <v>96.49</v>
      </c>
      <c r="M83" s="5">
        <v>21.3</v>
      </c>
      <c r="N83" s="5">
        <v>37</v>
      </c>
      <c r="O83" s="5"/>
      <c r="P83" s="5"/>
      <c r="Q83" s="5">
        <v>2.5</v>
      </c>
      <c r="R83" s="5">
        <v>43.040700000000001</v>
      </c>
      <c r="S83" s="9">
        <v>-76.143699999999995</v>
      </c>
    </row>
    <row r="84" spans="1:19" hidden="1" x14ac:dyDescent="0.15">
      <c r="A84" s="6">
        <v>164</v>
      </c>
      <c r="B84" s="7" t="s">
        <v>226</v>
      </c>
      <c r="C84" s="7" t="s">
        <v>18</v>
      </c>
      <c r="D84" s="7" t="s">
        <v>19</v>
      </c>
      <c r="E84" s="7" t="s">
        <v>110</v>
      </c>
      <c r="F84" s="7">
        <v>292264</v>
      </c>
      <c r="G84" s="7">
        <v>1450</v>
      </c>
      <c r="H84" s="7">
        <v>811</v>
      </c>
      <c r="I84" s="7">
        <v>3.3000000000000002E-2</v>
      </c>
      <c r="J84" s="7">
        <v>52919</v>
      </c>
      <c r="K84" s="7">
        <v>94.1</v>
      </c>
      <c r="L84" s="7">
        <v>92.77</v>
      </c>
      <c r="M84" s="7">
        <v>20.3</v>
      </c>
      <c r="N84" s="7">
        <v>18</v>
      </c>
      <c r="O84" s="7"/>
      <c r="P84" s="7"/>
      <c r="Q84" s="7">
        <v>2</v>
      </c>
      <c r="R84" s="7">
        <v>43.096200000000003</v>
      </c>
      <c r="S84" s="8">
        <v>-75.226100000000002</v>
      </c>
    </row>
    <row r="85" spans="1:19" hidden="1" x14ac:dyDescent="0.15">
      <c r="A85" s="4">
        <v>309</v>
      </c>
      <c r="B85" s="5" t="s">
        <v>361</v>
      </c>
      <c r="C85" s="5" t="s">
        <v>18</v>
      </c>
      <c r="D85" s="5" t="s">
        <v>19</v>
      </c>
      <c r="E85" s="5" t="s">
        <v>249</v>
      </c>
      <c r="F85" s="5">
        <v>116721</v>
      </c>
      <c r="G85" s="5">
        <v>1313</v>
      </c>
      <c r="H85" s="5">
        <v>1013</v>
      </c>
      <c r="I85" s="5">
        <v>3.9E-2</v>
      </c>
      <c r="J85" s="5">
        <v>53130</v>
      </c>
      <c r="K85" s="5">
        <v>96.4</v>
      </c>
      <c r="L85" s="5">
        <v>93.96</v>
      </c>
      <c r="M85" s="5"/>
      <c r="N85" s="5">
        <v>34</v>
      </c>
      <c r="O85" s="5"/>
      <c r="P85" s="5"/>
      <c r="Q85" s="5">
        <v>0</v>
      </c>
      <c r="R85" s="5">
        <v>43.973399999999998</v>
      </c>
      <c r="S85" s="9">
        <v>-75.909400000000005</v>
      </c>
    </row>
    <row r="86" spans="1:19" hidden="1" x14ac:dyDescent="0.15">
      <c r="A86" s="6">
        <v>115</v>
      </c>
      <c r="B86" s="7" t="s">
        <v>174</v>
      </c>
      <c r="C86" s="7" t="s">
        <v>60</v>
      </c>
      <c r="D86" s="7" t="s">
        <v>29</v>
      </c>
      <c r="E86" s="7" t="s">
        <v>110</v>
      </c>
      <c r="F86" s="7">
        <v>469015</v>
      </c>
      <c r="G86" s="7">
        <v>1811</v>
      </c>
      <c r="H86" s="7">
        <v>1361</v>
      </c>
      <c r="I86" s="7">
        <v>2.5000000000000001E-2</v>
      </c>
      <c r="J86" s="7">
        <v>54827</v>
      </c>
      <c r="K86" s="7">
        <v>103.3</v>
      </c>
      <c r="L86" s="7">
        <v>94.7</v>
      </c>
      <c r="M86" s="7">
        <v>21.6</v>
      </c>
      <c r="N86" s="7">
        <v>43</v>
      </c>
      <c r="O86" s="7"/>
      <c r="P86" s="7"/>
      <c r="Q86" s="7">
        <v>1.1000000000000001</v>
      </c>
      <c r="R86" s="7">
        <v>35.570700000000002</v>
      </c>
      <c r="S86" s="8">
        <v>-82.553700000000006</v>
      </c>
    </row>
    <row r="87" spans="1:19" hidden="1" x14ac:dyDescent="0.15">
      <c r="A87" s="6">
        <v>238</v>
      </c>
      <c r="B87" s="7" t="s">
        <v>258</v>
      </c>
      <c r="C87" s="7" t="s">
        <v>60</v>
      </c>
      <c r="D87" s="7" t="s">
        <v>29</v>
      </c>
      <c r="E87" s="7" t="s">
        <v>249</v>
      </c>
      <c r="F87" s="7">
        <v>171415</v>
      </c>
      <c r="G87" s="7">
        <v>1470</v>
      </c>
      <c r="H87" s="7">
        <v>888</v>
      </c>
      <c r="I87" s="7">
        <v>3.2000000000000001E-2</v>
      </c>
      <c r="J87" s="7">
        <v>48118</v>
      </c>
      <c r="K87" s="7">
        <v>91.8</v>
      </c>
      <c r="L87" s="7">
        <v>89.56</v>
      </c>
      <c r="M87" s="7">
        <v>23.7</v>
      </c>
      <c r="N87" s="7"/>
      <c r="O87" s="7"/>
      <c r="P87" s="7"/>
      <c r="Q87" s="7">
        <v>0.3</v>
      </c>
      <c r="R87" s="7">
        <v>36.076000000000001</v>
      </c>
      <c r="S87" s="8">
        <v>-79.468500000000006</v>
      </c>
    </row>
    <row r="88" spans="1:19" hidden="1" x14ac:dyDescent="0.15">
      <c r="A88" s="6">
        <v>22</v>
      </c>
      <c r="B88" s="7" t="s">
        <v>59</v>
      </c>
      <c r="C88" s="7" t="s">
        <v>60</v>
      </c>
      <c r="D88" s="7" t="s">
        <v>29</v>
      </c>
      <c r="E88" s="7" t="s">
        <v>20</v>
      </c>
      <c r="F88" s="7">
        <v>2660329</v>
      </c>
      <c r="G88" s="7">
        <v>1767</v>
      </c>
      <c r="H88" s="7">
        <v>1288</v>
      </c>
      <c r="I88" s="7">
        <v>3.1E-2</v>
      </c>
      <c r="J88" s="7">
        <v>62056</v>
      </c>
      <c r="K88" s="7">
        <v>97.9</v>
      </c>
      <c r="L88" s="7">
        <v>96.6</v>
      </c>
      <c r="M88" s="7">
        <v>26.5</v>
      </c>
      <c r="N88" s="7">
        <v>47</v>
      </c>
      <c r="O88" s="7">
        <v>26.4</v>
      </c>
      <c r="P88" s="7">
        <v>31.3</v>
      </c>
      <c r="Q88" s="7">
        <v>2.2000000000000002</v>
      </c>
      <c r="R88" s="7">
        <v>35.208300000000001</v>
      </c>
      <c r="S88" s="8">
        <v>-80.830299999999994</v>
      </c>
    </row>
    <row r="89" spans="1:19" hidden="1" x14ac:dyDescent="0.15">
      <c r="A89" s="6">
        <v>88</v>
      </c>
      <c r="B89" s="7" t="s">
        <v>147</v>
      </c>
      <c r="C89" s="7" t="s">
        <v>60</v>
      </c>
      <c r="D89" s="7" t="s">
        <v>29</v>
      </c>
      <c r="E89" s="7" t="s">
        <v>110</v>
      </c>
      <c r="F89" s="7">
        <v>649903</v>
      </c>
      <c r="G89" s="7">
        <v>1617</v>
      </c>
      <c r="H89" s="7">
        <v>1224</v>
      </c>
      <c r="I89" s="7">
        <v>2.6000000000000002E-2</v>
      </c>
      <c r="J89" s="7">
        <v>63375</v>
      </c>
      <c r="K89" s="7">
        <v>99.8</v>
      </c>
      <c r="L89" s="7">
        <v>95.99</v>
      </c>
      <c r="M89" s="7">
        <v>24.6</v>
      </c>
      <c r="N89" s="7">
        <v>41</v>
      </c>
      <c r="O89" s="7">
        <v>30.3</v>
      </c>
      <c r="P89" s="7">
        <v>37.6</v>
      </c>
      <c r="Q89" s="7">
        <v>3.2</v>
      </c>
      <c r="R89" s="7">
        <v>35.979199999999999</v>
      </c>
      <c r="S89" s="8">
        <v>-78.902199999999993</v>
      </c>
    </row>
    <row r="90" spans="1:19" hidden="1" x14ac:dyDescent="0.15">
      <c r="A90" s="4">
        <v>104</v>
      </c>
      <c r="B90" s="5" t="s">
        <v>162</v>
      </c>
      <c r="C90" s="5" t="s">
        <v>60</v>
      </c>
      <c r="D90" s="5" t="s">
        <v>29</v>
      </c>
      <c r="E90" s="5" t="s">
        <v>110</v>
      </c>
      <c r="F90" s="5">
        <v>520378</v>
      </c>
      <c r="G90" s="5">
        <v>1339</v>
      </c>
      <c r="H90" s="5">
        <v>959</v>
      </c>
      <c r="I90" s="5">
        <v>4.8000000000000001E-2</v>
      </c>
      <c r="J90" s="5">
        <v>45542</v>
      </c>
      <c r="K90" s="5">
        <v>89.5</v>
      </c>
      <c r="L90" s="5">
        <v>91.68</v>
      </c>
      <c r="M90" s="5">
        <v>22.6</v>
      </c>
      <c r="N90" s="5">
        <v>41</v>
      </c>
      <c r="O90" s="5">
        <v>21.4</v>
      </c>
      <c r="P90" s="5">
        <v>29.7</v>
      </c>
      <c r="Q90" s="5">
        <v>1.8</v>
      </c>
      <c r="R90" s="5">
        <v>35.085000000000001</v>
      </c>
      <c r="S90" s="9">
        <v>-78.977199999999996</v>
      </c>
    </row>
    <row r="91" spans="1:19" hidden="1" x14ac:dyDescent="0.15">
      <c r="A91" s="4">
        <v>75</v>
      </c>
      <c r="B91" s="5" t="s">
        <v>132</v>
      </c>
      <c r="C91" s="5" t="s">
        <v>60</v>
      </c>
      <c r="D91" s="5" t="s">
        <v>29</v>
      </c>
      <c r="E91" s="5" t="s">
        <v>110</v>
      </c>
      <c r="F91" s="5">
        <v>776566</v>
      </c>
      <c r="G91" s="5">
        <v>1421</v>
      </c>
      <c r="H91" s="5">
        <v>981</v>
      </c>
      <c r="I91" s="5">
        <v>3.6000000000000004E-2</v>
      </c>
      <c r="J91" s="5">
        <v>51872</v>
      </c>
      <c r="K91" s="5">
        <v>91</v>
      </c>
      <c r="L91" s="5">
        <v>92.82</v>
      </c>
      <c r="M91" s="5">
        <v>22.1</v>
      </c>
      <c r="N91" s="5">
        <v>43</v>
      </c>
      <c r="O91" s="5">
        <v>29.4</v>
      </c>
      <c r="P91" s="5">
        <v>32.200000000000003</v>
      </c>
      <c r="Q91" s="5">
        <v>1.8</v>
      </c>
      <c r="R91" s="5">
        <v>36.095599999999997</v>
      </c>
      <c r="S91" s="9">
        <v>-79.827100000000002</v>
      </c>
    </row>
    <row r="92" spans="1:19" hidden="1" x14ac:dyDescent="0.15">
      <c r="A92" s="4">
        <v>241</v>
      </c>
      <c r="B92" s="5" t="s">
        <v>114</v>
      </c>
      <c r="C92" s="5" t="s">
        <v>60</v>
      </c>
      <c r="D92" s="5" t="s">
        <v>29</v>
      </c>
      <c r="E92" s="5" t="s">
        <v>249</v>
      </c>
      <c r="F92" s="5">
        <v>170243</v>
      </c>
      <c r="G92" s="5">
        <v>1450</v>
      </c>
      <c r="H92" s="5">
        <v>872</v>
      </c>
      <c r="I92" s="5">
        <v>3.5000000000000003E-2</v>
      </c>
      <c r="J92" s="5">
        <v>53200</v>
      </c>
      <c r="K92" s="5">
        <v>89.8</v>
      </c>
      <c r="L92" s="5">
        <v>89.62</v>
      </c>
      <c r="M92" s="5">
        <v>20.7</v>
      </c>
      <c r="N92" s="5">
        <v>37</v>
      </c>
      <c r="O92" s="5"/>
      <c r="P92" s="5"/>
      <c r="Q92" s="5">
        <v>1.3</v>
      </c>
      <c r="R92" s="5">
        <v>35.594299999999997</v>
      </c>
      <c r="S92" s="9">
        <v>-77.376000000000005</v>
      </c>
    </row>
    <row r="93" spans="1:19" hidden="1" x14ac:dyDescent="0.15">
      <c r="A93" s="4">
        <v>144</v>
      </c>
      <c r="B93" s="5" t="s">
        <v>206</v>
      </c>
      <c r="C93" s="5" t="s">
        <v>60</v>
      </c>
      <c r="D93" s="5" t="s">
        <v>29</v>
      </c>
      <c r="E93" s="5" t="s">
        <v>110</v>
      </c>
      <c r="F93" s="5">
        <v>365276</v>
      </c>
      <c r="G93" s="5">
        <v>1435</v>
      </c>
      <c r="H93" s="5">
        <v>692</v>
      </c>
      <c r="I93" s="5">
        <v>2.8999999999999998E-2</v>
      </c>
      <c r="J93" s="5">
        <v>48529</v>
      </c>
      <c r="K93" s="5">
        <v>89.8</v>
      </c>
      <c r="L93" s="5">
        <v>89.25</v>
      </c>
      <c r="M93" s="5">
        <v>22.6</v>
      </c>
      <c r="N93" s="5">
        <v>42</v>
      </c>
      <c r="O93" s="5"/>
      <c r="P93" s="5"/>
      <c r="Q93" s="5">
        <v>0.4</v>
      </c>
      <c r="R93" s="5">
        <v>35.741</v>
      </c>
      <c r="S93" s="9">
        <v>-81.322299999999998</v>
      </c>
    </row>
    <row r="94" spans="1:19" hidden="1" x14ac:dyDescent="0.15">
      <c r="A94" s="4">
        <v>211</v>
      </c>
      <c r="B94" s="5" t="s">
        <v>83</v>
      </c>
      <c r="C94" s="5" t="s">
        <v>60</v>
      </c>
      <c r="D94" s="5" t="s">
        <v>29</v>
      </c>
      <c r="E94" s="5" t="s">
        <v>249</v>
      </c>
      <c r="F94" s="5">
        <v>204576</v>
      </c>
      <c r="G94" s="5">
        <v>1203</v>
      </c>
      <c r="H94" s="5">
        <v>850</v>
      </c>
      <c r="I94" s="5">
        <v>3.7000000000000005E-2</v>
      </c>
      <c r="J94" s="5">
        <v>50869</v>
      </c>
      <c r="K94" s="5">
        <v>91.7</v>
      </c>
      <c r="L94" s="5">
        <v>89.7</v>
      </c>
      <c r="M94" s="5">
        <v>20.100000000000001</v>
      </c>
      <c r="N94" s="5"/>
      <c r="O94" s="5"/>
      <c r="P94" s="5"/>
      <c r="Q94" s="5">
        <v>0.8</v>
      </c>
      <c r="R94" s="5">
        <v>34.728900000000003</v>
      </c>
      <c r="S94" s="9">
        <v>-77.394099999999995</v>
      </c>
    </row>
    <row r="95" spans="1:19" hidden="1" x14ac:dyDescent="0.15">
      <c r="A95" s="4">
        <v>302</v>
      </c>
      <c r="B95" s="5" t="s">
        <v>354</v>
      </c>
      <c r="C95" s="5" t="s">
        <v>60</v>
      </c>
      <c r="D95" s="5" t="s">
        <v>29</v>
      </c>
      <c r="E95" s="5" t="s">
        <v>249</v>
      </c>
      <c r="F95" s="5">
        <v>122168</v>
      </c>
      <c r="G95" s="5">
        <v>1493</v>
      </c>
      <c r="H95" s="5"/>
      <c r="I95" s="5">
        <v>3.2000000000000001E-2</v>
      </c>
      <c r="J95" s="5">
        <v>53762</v>
      </c>
      <c r="K95" s="5">
        <v>90.2</v>
      </c>
      <c r="L95" s="5">
        <v>91.24</v>
      </c>
      <c r="M95" s="5">
        <v>24.6</v>
      </c>
      <c r="N95" s="5"/>
      <c r="O95" s="5"/>
      <c r="P95" s="5"/>
      <c r="Q95" s="5">
        <v>0.4</v>
      </c>
      <c r="R95" s="5">
        <v>35.095500000000001</v>
      </c>
      <c r="S95" s="9">
        <v>-77.072299999999998</v>
      </c>
    </row>
    <row r="96" spans="1:19" hidden="1" x14ac:dyDescent="0.15">
      <c r="A96" s="6">
        <v>41</v>
      </c>
      <c r="B96" s="7" t="s">
        <v>88</v>
      </c>
      <c r="C96" s="7" t="s">
        <v>60</v>
      </c>
      <c r="D96" s="7" t="s">
        <v>29</v>
      </c>
      <c r="E96" s="7" t="s">
        <v>20</v>
      </c>
      <c r="F96" s="7">
        <v>1413982</v>
      </c>
      <c r="G96" s="7">
        <v>1640</v>
      </c>
      <c r="H96" s="7">
        <v>1353</v>
      </c>
      <c r="I96" s="7">
        <v>2.7000000000000003E-2</v>
      </c>
      <c r="J96" s="7">
        <v>66428</v>
      </c>
      <c r="K96" s="7">
        <v>99.7</v>
      </c>
      <c r="L96" s="7">
        <v>97.58</v>
      </c>
      <c r="M96" s="7">
        <v>25.9</v>
      </c>
      <c r="N96" s="7">
        <v>43</v>
      </c>
      <c r="O96" s="7">
        <v>31.3</v>
      </c>
      <c r="P96" s="7">
        <v>39.299999999999997</v>
      </c>
      <c r="Q96" s="7">
        <v>2.2999999999999998</v>
      </c>
      <c r="R96" s="7">
        <v>35.8324</v>
      </c>
      <c r="S96" s="8">
        <v>-78.642899999999997</v>
      </c>
    </row>
    <row r="97" spans="1:19" hidden="1" x14ac:dyDescent="0.15">
      <c r="A97" s="4">
        <v>272</v>
      </c>
      <c r="B97" s="5" t="s">
        <v>327</v>
      </c>
      <c r="C97" s="5" t="s">
        <v>60</v>
      </c>
      <c r="D97" s="5" t="s">
        <v>29</v>
      </c>
      <c r="E97" s="5" t="s">
        <v>249</v>
      </c>
      <c r="F97" s="5">
        <v>143870</v>
      </c>
      <c r="G97" s="5">
        <v>1301</v>
      </c>
      <c r="H97" s="5">
        <v>777</v>
      </c>
      <c r="I97" s="5">
        <v>5.2000000000000005E-2</v>
      </c>
      <c r="J97" s="5">
        <v>48812</v>
      </c>
      <c r="K97" s="5">
        <v>88.3</v>
      </c>
      <c r="L97" s="5">
        <v>87.83</v>
      </c>
      <c r="M97" s="5">
        <v>22.7</v>
      </c>
      <c r="N97" s="5">
        <v>38</v>
      </c>
      <c r="O97" s="5"/>
      <c r="P97" s="5"/>
      <c r="Q97" s="5">
        <v>1</v>
      </c>
      <c r="R97" s="5">
        <v>35.968499999999999</v>
      </c>
      <c r="S97" s="9">
        <v>-77.804000000000002</v>
      </c>
    </row>
    <row r="98" spans="1:19" hidden="1" x14ac:dyDescent="0.15">
      <c r="A98" s="4">
        <v>229</v>
      </c>
      <c r="B98" s="5" t="s">
        <v>289</v>
      </c>
      <c r="C98" s="5" t="s">
        <v>28</v>
      </c>
      <c r="D98" s="5" t="s">
        <v>29</v>
      </c>
      <c r="E98" s="5" t="s">
        <v>249</v>
      </c>
      <c r="F98" s="5">
        <v>176579</v>
      </c>
      <c r="G98" s="5">
        <v>992</v>
      </c>
      <c r="H98" s="5">
        <v>808</v>
      </c>
      <c r="I98" s="5">
        <v>3.2000000000000001E-2</v>
      </c>
      <c r="J98" s="5">
        <v>55556</v>
      </c>
      <c r="K98" s="5">
        <v>89.1</v>
      </c>
      <c r="L98" s="5">
        <v>92.03</v>
      </c>
      <c r="M98" s="5">
        <v>19.100000000000001</v>
      </c>
      <c r="N98" s="5"/>
      <c r="O98" s="5"/>
      <c r="P98" s="5"/>
      <c r="Q98" s="5">
        <v>1.6</v>
      </c>
      <c r="R98" s="5">
        <v>32.454300000000003</v>
      </c>
      <c r="S98" s="9">
        <v>-99.738399999999999</v>
      </c>
    </row>
    <row r="99" spans="1:19" hidden="1" x14ac:dyDescent="0.15">
      <c r="A99" s="6">
        <v>176</v>
      </c>
      <c r="B99" s="7" t="s">
        <v>239</v>
      </c>
      <c r="C99" s="7" t="s">
        <v>28</v>
      </c>
      <c r="D99" s="7" t="s">
        <v>29</v>
      </c>
      <c r="E99" s="7" t="s">
        <v>110</v>
      </c>
      <c r="F99" s="7">
        <v>268691</v>
      </c>
      <c r="G99" s="7">
        <v>1359</v>
      </c>
      <c r="H99" s="7">
        <v>847</v>
      </c>
      <c r="I99" s="7">
        <v>2.6000000000000002E-2</v>
      </c>
      <c r="J99" s="7">
        <v>56248</v>
      </c>
      <c r="K99" s="7">
        <v>88.2</v>
      </c>
      <c r="L99" s="7">
        <v>93.79</v>
      </c>
      <c r="M99" s="7">
        <v>19.100000000000001</v>
      </c>
      <c r="N99" s="7">
        <v>47</v>
      </c>
      <c r="O99" s="7"/>
      <c r="P99" s="7"/>
      <c r="Q99" s="7">
        <v>1.8</v>
      </c>
      <c r="R99" s="7">
        <v>35.198399999999999</v>
      </c>
      <c r="S99" s="8">
        <v>-101.83159999999999</v>
      </c>
    </row>
    <row r="100" spans="1:19" hidden="1" x14ac:dyDescent="0.15">
      <c r="A100" s="4">
        <v>27</v>
      </c>
      <c r="B100" s="5" t="s">
        <v>66</v>
      </c>
      <c r="C100" s="5" t="s">
        <v>28</v>
      </c>
      <c r="D100" s="5" t="s">
        <v>29</v>
      </c>
      <c r="E100" s="5" t="s">
        <v>20</v>
      </c>
      <c r="F100" s="5">
        <v>2283371</v>
      </c>
      <c r="G100" s="5">
        <v>1840</v>
      </c>
      <c r="H100" s="5">
        <v>1483</v>
      </c>
      <c r="I100" s="5">
        <v>2.7000000000000003E-2</v>
      </c>
      <c r="J100" s="5">
        <v>71372</v>
      </c>
      <c r="K100" s="5">
        <v>106.6</v>
      </c>
      <c r="L100" s="5">
        <v>100.04</v>
      </c>
      <c r="M100" s="5">
        <v>27.1</v>
      </c>
      <c r="N100" s="5">
        <v>45</v>
      </c>
      <c r="O100" s="5">
        <v>41.7</v>
      </c>
      <c r="P100" s="5">
        <v>54</v>
      </c>
      <c r="Q100" s="5">
        <v>2.8</v>
      </c>
      <c r="R100" s="5">
        <v>30.3005</v>
      </c>
      <c r="S100" s="9">
        <v>-97.752200000000002</v>
      </c>
    </row>
    <row r="101" spans="1:19" hidden="1" x14ac:dyDescent="0.15">
      <c r="A101" s="4">
        <v>134</v>
      </c>
      <c r="B101" s="5" t="s">
        <v>195</v>
      </c>
      <c r="C101" s="5" t="s">
        <v>28</v>
      </c>
      <c r="D101" s="5" t="s">
        <v>29</v>
      </c>
      <c r="E101" s="5" t="s">
        <v>110</v>
      </c>
      <c r="F101" s="5">
        <v>397565</v>
      </c>
      <c r="G101" s="5">
        <v>1331</v>
      </c>
      <c r="H101" s="5">
        <v>898</v>
      </c>
      <c r="I101" s="5">
        <v>6.3E-2</v>
      </c>
      <c r="J101" s="5">
        <v>49006</v>
      </c>
      <c r="K101" s="5">
        <v>88.6</v>
      </c>
      <c r="L101" s="5">
        <v>93.31</v>
      </c>
      <c r="M101" s="5">
        <v>22.6</v>
      </c>
      <c r="N101" s="5">
        <v>44</v>
      </c>
      <c r="O101" s="5"/>
      <c r="P101" s="5"/>
      <c r="Q101" s="5">
        <v>1.4</v>
      </c>
      <c r="R101" s="5">
        <v>30.084900000000001</v>
      </c>
      <c r="S101" s="9">
        <v>-94.145099999999999</v>
      </c>
    </row>
    <row r="102" spans="1:19" hidden="1" x14ac:dyDescent="0.15">
      <c r="A102" s="4">
        <v>125</v>
      </c>
      <c r="B102" s="5" t="s">
        <v>185</v>
      </c>
      <c r="C102" s="5" t="s">
        <v>28</v>
      </c>
      <c r="D102" s="5" t="s">
        <v>29</v>
      </c>
      <c r="E102" s="5" t="s">
        <v>110</v>
      </c>
      <c r="F102" s="5">
        <v>421017</v>
      </c>
      <c r="G102" s="5">
        <v>1330</v>
      </c>
      <c r="H102" s="5">
        <v>745</v>
      </c>
      <c r="I102" s="5">
        <v>5.7000000000000002E-2</v>
      </c>
      <c r="J102" s="5">
        <v>37861</v>
      </c>
      <c r="K102" s="5">
        <v>87.8</v>
      </c>
      <c r="L102" s="5">
        <v>88.36</v>
      </c>
      <c r="M102" s="5">
        <v>20.8</v>
      </c>
      <c r="N102" s="5">
        <v>47</v>
      </c>
      <c r="O102" s="5"/>
      <c r="P102" s="5"/>
      <c r="Q102" s="5">
        <v>2</v>
      </c>
      <c r="R102" s="5">
        <v>25.997499999999999</v>
      </c>
      <c r="S102" s="9">
        <v>-97.457999999999998</v>
      </c>
    </row>
    <row r="103" spans="1:19" hidden="1" x14ac:dyDescent="0.15">
      <c r="A103" s="4">
        <v>179</v>
      </c>
      <c r="B103" s="5" t="s">
        <v>242</v>
      </c>
      <c r="C103" s="5" t="s">
        <v>28</v>
      </c>
      <c r="D103" s="5" t="s">
        <v>29</v>
      </c>
      <c r="E103" s="5" t="s">
        <v>110</v>
      </c>
      <c r="F103" s="5">
        <v>268248</v>
      </c>
      <c r="G103" s="5">
        <v>1793</v>
      </c>
      <c r="H103" s="5">
        <v>953</v>
      </c>
      <c r="I103" s="5">
        <v>2.7999999999999997E-2</v>
      </c>
      <c r="J103" s="5">
        <v>47803</v>
      </c>
      <c r="K103" s="5">
        <v>92.3</v>
      </c>
      <c r="L103" s="5">
        <v>95.12</v>
      </c>
      <c r="M103" s="5">
        <v>18.100000000000001</v>
      </c>
      <c r="N103" s="5">
        <v>31</v>
      </c>
      <c r="O103" s="5"/>
      <c r="P103" s="5"/>
      <c r="Q103" s="5">
        <v>1.4</v>
      </c>
      <c r="R103" s="5">
        <v>30.5852</v>
      </c>
      <c r="S103" s="9">
        <v>-96.295900000000003</v>
      </c>
    </row>
    <row r="104" spans="1:19" hidden="1" x14ac:dyDescent="0.15">
      <c r="A104" s="6">
        <v>124</v>
      </c>
      <c r="B104" s="7" t="s">
        <v>184</v>
      </c>
      <c r="C104" s="7" t="s">
        <v>28</v>
      </c>
      <c r="D104" s="7" t="s">
        <v>29</v>
      </c>
      <c r="E104" s="7" t="s">
        <v>110</v>
      </c>
      <c r="F104" s="7">
        <v>421933</v>
      </c>
      <c r="G104" s="7">
        <v>1375</v>
      </c>
      <c r="H104" s="7">
        <v>1104</v>
      </c>
      <c r="I104" s="7">
        <v>4.4999999999999998E-2</v>
      </c>
      <c r="J104" s="7">
        <v>52612</v>
      </c>
      <c r="K104" s="7">
        <v>93.3</v>
      </c>
      <c r="L104" s="7">
        <v>94.81</v>
      </c>
      <c r="M104" s="7">
        <v>19.600000000000001</v>
      </c>
      <c r="N104" s="7">
        <v>45</v>
      </c>
      <c r="O104" s="7">
        <v>40.299999999999997</v>
      </c>
      <c r="P104" s="7">
        <v>42.1</v>
      </c>
      <c r="Q104" s="7">
        <v>3.4</v>
      </c>
      <c r="R104" s="7">
        <v>27.7254</v>
      </c>
      <c r="S104" s="8">
        <v>-97.3767</v>
      </c>
    </row>
    <row r="105" spans="1:19" hidden="1" x14ac:dyDescent="0.15">
      <c r="A105" s="4">
        <v>3</v>
      </c>
      <c r="B105" s="5" t="s">
        <v>27</v>
      </c>
      <c r="C105" s="5" t="s">
        <v>28</v>
      </c>
      <c r="D105" s="5" t="s">
        <v>29</v>
      </c>
      <c r="E105" s="5" t="s">
        <v>20</v>
      </c>
      <c r="F105" s="5">
        <v>7637387</v>
      </c>
      <c r="G105" s="5">
        <v>1754</v>
      </c>
      <c r="H105" s="5">
        <v>1440</v>
      </c>
      <c r="I105" s="5">
        <v>3.2000000000000001E-2</v>
      </c>
      <c r="J105" s="5">
        <v>66727</v>
      </c>
      <c r="K105" s="5">
        <v>98.5</v>
      </c>
      <c r="L105" s="5">
        <v>103.85</v>
      </c>
      <c r="M105" s="5">
        <v>28.6</v>
      </c>
      <c r="N105" s="5">
        <v>51</v>
      </c>
      <c r="O105" s="5">
        <v>46</v>
      </c>
      <c r="P105" s="5">
        <v>49.3</v>
      </c>
      <c r="Q105" s="5">
        <v>2.8</v>
      </c>
      <c r="R105" s="5">
        <v>32.793500000000002</v>
      </c>
      <c r="S105" s="9">
        <v>-96.7667</v>
      </c>
    </row>
    <row r="106" spans="1:19" hidden="1" x14ac:dyDescent="0.15">
      <c r="A106" s="4">
        <v>66</v>
      </c>
      <c r="B106" s="5" t="s">
        <v>123</v>
      </c>
      <c r="C106" s="5" t="s">
        <v>28</v>
      </c>
      <c r="D106" s="5" t="s">
        <v>29</v>
      </c>
      <c r="E106" s="5" t="s">
        <v>110</v>
      </c>
      <c r="F106" s="5">
        <v>868859</v>
      </c>
      <c r="G106" s="5">
        <v>1467</v>
      </c>
      <c r="H106" s="5">
        <v>884</v>
      </c>
      <c r="I106" s="5">
        <v>0.04</v>
      </c>
      <c r="J106" s="5">
        <v>44058</v>
      </c>
      <c r="K106" s="5">
        <v>88.6</v>
      </c>
      <c r="L106" s="5">
        <v>93.13</v>
      </c>
      <c r="M106" s="5">
        <v>23.7</v>
      </c>
      <c r="N106" s="5">
        <v>56</v>
      </c>
      <c r="O106" s="5">
        <v>40.4</v>
      </c>
      <c r="P106" s="5">
        <v>42</v>
      </c>
      <c r="Q106" s="5">
        <v>4.0999999999999996</v>
      </c>
      <c r="R106" s="5">
        <v>31.8476</v>
      </c>
      <c r="S106" s="9">
        <v>-106.43</v>
      </c>
    </row>
    <row r="107" spans="1:19" hidden="1" x14ac:dyDescent="0.15">
      <c r="A107" s="6">
        <v>4</v>
      </c>
      <c r="B107" s="7" t="s">
        <v>30</v>
      </c>
      <c r="C107" s="7" t="s">
        <v>28</v>
      </c>
      <c r="D107" s="7" t="s">
        <v>29</v>
      </c>
      <c r="E107" s="7" t="s">
        <v>20</v>
      </c>
      <c r="F107" s="7">
        <v>7122240</v>
      </c>
      <c r="G107" s="7">
        <v>1620</v>
      </c>
      <c r="H107" s="7">
        <v>1216</v>
      </c>
      <c r="I107" s="7">
        <v>3.9E-2</v>
      </c>
      <c r="J107" s="7">
        <v>64837</v>
      </c>
      <c r="K107" s="7">
        <v>95.8</v>
      </c>
      <c r="L107" s="7">
        <v>99.74</v>
      </c>
      <c r="M107" s="7">
        <v>30</v>
      </c>
      <c r="N107" s="7">
        <v>57</v>
      </c>
      <c r="O107" s="7">
        <v>47.5</v>
      </c>
      <c r="P107" s="7">
        <v>48.6</v>
      </c>
      <c r="Q107" s="7">
        <v>2.8</v>
      </c>
      <c r="R107" s="7">
        <v>29.786000000000001</v>
      </c>
      <c r="S107" s="8">
        <v>-95.388499999999993</v>
      </c>
    </row>
    <row r="108" spans="1:19" hidden="1" x14ac:dyDescent="0.15">
      <c r="A108" s="6">
        <v>113</v>
      </c>
      <c r="B108" s="7" t="s">
        <v>172</v>
      </c>
      <c r="C108" s="7" t="s">
        <v>28</v>
      </c>
      <c r="D108" s="7" t="s">
        <v>29</v>
      </c>
      <c r="E108" s="7" t="s">
        <v>110</v>
      </c>
      <c r="F108" s="7">
        <v>475367</v>
      </c>
      <c r="G108" s="7">
        <v>1271</v>
      </c>
      <c r="H108" s="7">
        <v>804</v>
      </c>
      <c r="I108" s="7">
        <v>0.04</v>
      </c>
      <c r="J108" s="7">
        <v>47755</v>
      </c>
      <c r="K108" s="7">
        <v>88.6</v>
      </c>
      <c r="L108" s="7">
        <v>93.56</v>
      </c>
      <c r="M108" s="7">
        <v>20.2</v>
      </c>
      <c r="N108" s="7">
        <v>44</v>
      </c>
      <c r="O108" s="7"/>
      <c r="P108" s="7"/>
      <c r="Q108" s="7">
        <v>1.6</v>
      </c>
      <c r="R108" s="7">
        <v>31.075299999999999</v>
      </c>
      <c r="S108" s="8">
        <v>-97.729699999999994</v>
      </c>
    </row>
    <row r="109" spans="1:19" hidden="1" x14ac:dyDescent="0.15">
      <c r="A109" s="6">
        <v>180</v>
      </c>
      <c r="B109" s="7" t="s">
        <v>243</v>
      </c>
      <c r="C109" s="7" t="s">
        <v>28</v>
      </c>
      <c r="D109" s="7" t="s">
        <v>29</v>
      </c>
      <c r="E109" s="7" t="s">
        <v>110</v>
      </c>
      <c r="F109" s="7">
        <v>267114</v>
      </c>
      <c r="G109" s="7">
        <v>1283</v>
      </c>
      <c r="H109" s="7">
        <v>841</v>
      </c>
      <c r="I109" s="7">
        <v>3.7000000000000005E-2</v>
      </c>
      <c r="J109" s="7">
        <v>40850</v>
      </c>
      <c r="K109" s="7">
        <v>90.1</v>
      </c>
      <c r="L109" s="7">
        <v>89.94</v>
      </c>
      <c r="M109" s="7">
        <v>21.5</v>
      </c>
      <c r="N109" s="7">
        <v>42</v>
      </c>
      <c r="O109" s="7">
        <v>36.799999999999997</v>
      </c>
      <c r="P109" s="7">
        <v>39.6</v>
      </c>
      <c r="Q109" s="7">
        <v>4.0999999999999996</v>
      </c>
      <c r="R109" s="7">
        <v>27.5625</v>
      </c>
      <c r="S109" s="8">
        <v>-99.487399999999994</v>
      </c>
    </row>
    <row r="110" spans="1:19" hidden="1" x14ac:dyDescent="0.15">
      <c r="A110" s="6">
        <v>167</v>
      </c>
      <c r="B110" s="7" t="s">
        <v>229</v>
      </c>
      <c r="C110" s="7" t="s">
        <v>28</v>
      </c>
      <c r="D110" s="7" t="s">
        <v>29</v>
      </c>
      <c r="E110" s="7" t="s">
        <v>110</v>
      </c>
      <c r="F110" s="7">
        <v>286184</v>
      </c>
      <c r="G110" s="7">
        <v>1286</v>
      </c>
      <c r="H110" s="7">
        <v>901</v>
      </c>
      <c r="I110" s="7">
        <v>0.04</v>
      </c>
      <c r="J110" s="7">
        <v>48868</v>
      </c>
      <c r="K110" s="7">
        <v>88.5</v>
      </c>
      <c r="L110" s="7">
        <v>92.74</v>
      </c>
      <c r="M110" s="7"/>
      <c r="N110" s="7">
        <v>37</v>
      </c>
      <c r="O110" s="7"/>
      <c r="P110" s="7"/>
      <c r="Q110" s="7">
        <v>0.9</v>
      </c>
      <c r="R110" s="7">
        <v>32.519300000000001</v>
      </c>
      <c r="S110" s="8">
        <v>-94.762200000000007</v>
      </c>
    </row>
    <row r="111" spans="1:19" hidden="1" x14ac:dyDescent="0.15">
      <c r="A111" s="4">
        <v>156</v>
      </c>
      <c r="B111" s="5" t="s">
        <v>218</v>
      </c>
      <c r="C111" s="5" t="s">
        <v>28</v>
      </c>
      <c r="D111" s="5" t="s">
        <v>29</v>
      </c>
      <c r="E111" s="5" t="s">
        <v>110</v>
      </c>
      <c r="F111" s="5">
        <v>321368</v>
      </c>
      <c r="G111" s="5">
        <v>1306</v>
      </c>
      <c r="H111" s="5">
        <v>889</v>
      </c>
      <c r="I111" s="5">
        <v>2.8999999999999998E-2</v>
      </c>
      <c r="J111" s="5">
        <v>51045</v>
      </c>
      <c r="K111" s="5">
        <v>88.8</v>
      </c>
      <c r="L111" s="5">
        <v>93.95</v>
      </c>
      <c r="M111" s="5">
        <v>17.3</v>
      </c>
      <c r="N111" s="5">
        <v>22</v>
      </c>
      <c r="O111" s="5">
        <v>39</v>
      </c>
      <c r="P111" s="5">
        <v>42.5</v>
      </c>
      <c r="Q111" s="5">
        <v>2.5</v>
      </c>
      <c r="R111" s="5">
        <v>33.5657</v>
      </c>
      <c r="S111" s="9">
        <v>-101.8879</v>
      </c>
    </row>
    <row r="112" spans="1:19" hidden="1" x14ac:dyDescent="0.15">
      <c r="A112" s="6">
        <v>64</v>
      </c>
      <c r="B112" s="7" t="s">
        <v>121</v>
      </c>
      <c r="C112" s="7" t="s">
        <v>28</v>
      </c>
      <c r="D112" s="7" t="s">
        <v>29</v>
      </c>
      <c r="E112" s="7" t="s">
        <v>110</v>
      </c>
      <c r="F112" s="7">
        <v>870781</v>
      </c>
      <c r="G112" s="7">
        <v>1393</v>
      </c>
      <c r="H112" s="7">
        <v>742</v>
      </c>
      <c r="I112" s="7">
        <v>6.8000000000000005E-2</v>
      </c>
      <c r="J112" s="7">
        <v>34503</v>
      </c>
      <c r="K112" s="7">
        <v>86</v>
      </c>
      <c r="L112" s="7">
        <v>87.76</v>
      </c>
      <c r="M112" s="7">
        <v>21.6</v>
      </c>
      <c r="N112" s="7">
        <v>45</v>
      </c>
      <c r="O112" s="7"/>
      <c r="P112" s="7"/>
      <c r="Q112" s="7">
        <v>1.1000000000000001</v>
      </c>
      <c r="R112" s="7">
        <v>26.225200000000001</v>
      </c>
      <c r="S112" s="8">
        <v>-98.246700000000004</v>
      </c>
    </row>
    <row r="113" spans="1:19" hidden="1" x14ac:dyDescent="0.15">
      <c r="A113" s="6">
        <v>232</v>
      </c>
      <c r="B113" s="7" t="s">
        <v>292</v>
      </c>
      <c r="C113" s="7" t="s">
        <v>28</v>
      </c>
      <c r="D113" s="7" t="s">
        <v>29</v>
      </c>
      <c r="E113" s="7" t="s">
        <v>249</v>
      </c>
      <c r="F113" s="7">
        <v>175220</v>
      </c>
      <c r="G113" s="7">
        <v>1349</v>
      </c>
      <c r="H113" s="7">
        <v>1233</v>
      </c>
      <c r="I113" s="7">
        <v>2.6000000000000002E-2</v>
      </c>
      <c r="J113" s="7">
        <v>125455</v>
      </c>
      <c r="K113" s="7">
        <v>97.8</v>
      </c>
      <c r="L113" s="7">
        <v>97.86</v>
      </c>
      <c r="M113" s="7">
        <v>18.100000000000001</v>
      </c>
      <c r="N113" s="7"/>
      <c r="O113" s="7"/>
      <c r="P113" s="7"/>
      <c r="Q113" s="7">
        <v>2.1</v>
      </c>
      <c r="R113" s="7">
        <v>32.024299999999997</v>
      </c>
      <c r="S113" s="8">
        <v>-102.1147</v>
      </c>
    </row>
    <row r="114" spans="1:19" hidden="1" x14ac:dyDescent="0.15">
      <c r="A114" s="4">
        <v>247</v>
      </c>
      <c r="B114" s="5" t="s">
        <v>306</v>
      </c>
      <c r="C114" s="5" t="s">
        <v>28</v>
      </c>
      <c r="D114" s="5" t="s">
        <v>29</v>
      </c>
      <c r="E114" s="5" t="s">
        <v>249</v>
      </c>
      <c r="F114" s="5">
        <v>165171</v>
      </c>
      <c r="G114" s="5">
        <v>1359</v>
      </c>
      <c r="H114" s="5">
        <v>960</v>
      </c>
      <c r="I114" s="5">
        <v>3.7999999999999999E-2</v>
      </c>
      <c r="J114" s="5">
        <v>53610</v>
      </c>
      <c r="K114" s="5">
        <v>92.7</v>
      </c>
      <c r="L114" s="5">
        <v>96.52</v>
      </c>
      <c r="M114" s="5"/>
      <c r="N114" s="5">
        <v>31</v>
      </c>
      <c r="O114" s="5"/>
      <c r="P114" s="5"/>
      <c r="Q114" s="5">
        <v>1.9</v>
      </c>
      <c r="R114" s="5">
        <v>31.880099999999999</v>
      </c>
      <c r="S114" s="9">
        <v>-102.34480000000001</v>
      </c>
    </row>
    <row r="115" spans="1:19" hidden="1" x14ac:dyDescent="0.15">
      <c r="A115" s="6">
        <v>301</v>
      </c>
      <c r="B115" s="7" t="s">
        <v>353</v>
      </c>
      <c r="C115" s="7" t="s">
        <v>28</v>
      </c>
      <c r="D115" s="7" t="s">
        <v>29</v>
      </c>
      <c r="E115" s="7" t="s">
        <v>249</v>
      </c>
      <c r="F115" s="7">
        <v>122888</v>
      </c>
      <c r="G115" s="7">
        <v>1301</v>
      </c>
      <c r="H115" s="7">
        <v>903</v>
      </c>
      <c r="I115" s="7">
        <v>0.03</v>
      </c>
      <c r="J115" s="7">
        <v>60187</v>
      </c>
      <c r="K115" s="7">
        <v>90.7</v>
      </c>
      <c r="L115" s="7">
        <v>92.06</v>
      </c>
      <c r="M115" s="7"/>
      <c r="N115" s="7"/>
      <c r="O115" s="7"/>
      <c r="P115" s="7"/>
      <c r="Q115" s="7">
        <v>1.5</v>
      </c>
      <c r="R115" s="7">
        <v>31.442399999999999</v>
      </c>
      <c r="S115" s="8">
        <v>-100.4504</v>
      </c>
    </row>
    <row r="116" spans="1:19" hidden="1" x14ac:dyDescent="0.15">
      <c r="A116" s="4">
        <v>23</v>
      </c>
      <c r="B116" s="5" t="s">
        <v>61</v>
      </c>
      <c r="C116" s="5" t="s">
        <v>28</v>
      </c>
      <c r="D116" s="5" t="s">
        <v>29</v>
      </c>
      <c r="E116" s="5" t="s">
        <v>20</v>
      </c>
      <c r="F116" s="5">
        <v>2558143</v>
      </c>
      <c r="G116" s="5">
        <v>1441</v>
      </c>
      <c r="H116" s="5">
        <v>1138</v>
      </c>
      <c r="I116" s="5">
        <v>3.3000000000000002E-2</v>
      </c>
      <c r="J116" s="5">
        <v>53648</v>
      </c>
      <c r="K116" s="5">
        <v>92.7</v>
      </c>
      <c r="L116" s="5">
        <v>96.38</v>
      </c>
      <c r="M116" s="5">
        <v>26.7</v>
      </c>
      <c r="N116" s="5">
        <v>51</v>
      </c>
      <c r="O116" s="5">
        <v>36.9</v>
      </c>
      <c r="P116" s="5">
        <v>44.5</v>
      </c>
      <c r="Q116" s="5">
        <v>4.5</v>
      </c>
      <c r="R116" s="5">
        <v>29.463200000000001</v>
      </c>
      <c r="S116" s="9">
        <v>-98.523799999999994</v>
      </c>
    </row>
    <row r="117" spans="1:19" hidden="1" x14ac:dyDescent="0.15">
      <c r="A117" s="4">
        <v>283</v>
      </c>
      <c r="B117" s="5" t="s">
        <v>337</v>
      </c>
      <c r="C117" s="5" t="s">
        <v>28</v>
      </c>
      <c r="D117" s="5" t="s">
        <v>29</v>
      </c>
      <c r="E117" s="5" t="s">
        <v>249</v>
      </c>
      <c r="F117" s="5">
        <v>135543</v>
      </c>
      <c r="G117" s="5">
        <v>1536</v>
      </c>
      <c r="H117" s="5">
        <v>951</v>
      </c>
      <c r="I117" s="5">
        <v>3.2000000000000001E-2</v>
      </c>
      <c r="J117" s="5">
        <v>52055</v>
      </c>
      <c r="K117" s="5">
        <v>91.3</v>
      </c>
      <c r="L117" s="5">
        <v>93.16</v>
      </c>
      <c r="M117" s="5"/>
      <c r="N117" s="5"/>
      <c r="O117" s="5"/>
      <c r="P117" s="5"/>
      <c r="Q117" s="5">
        <v>0.7</v>
      </c>
      <c r="R117" s="5">
        <v>33.627299999999998</v>
      </c>
      <c r="S117" s="9">
        <v>-96.622100000000003</v>
      </c>
    </row>
    <row r="118" spans="1:19" hidden="1" x14ac:dyDescent="0.15">
      <c r="A118" s="4">
        <v>269</v>
      </c>
      <c r="B118" s="5" t="s">
        <v>324</v>
      </c>
      <c r="C118" s="5" t="s">
        <v>28</v>
      </c>
      <c r="D118" s="5" t="s">
        <v>29</v>
      </c>
      <c r="E118" s="5" t="s">
        <v>249</v>
      </c>
      <c r="F118" s="5">
        <v>147519</v>
      </c>
      <c r="G118" s="5">
        <v>1154</v>
      </c>
      <c r="H118" s="5"/>
      <c r="I118" s="5">
        <v>3.6000000000000004E-2</v>
      </c>
      <c r="J118" s="5">
        <v>45058</v>
      </c>
      <c r="K118" s="5">
        <v>86.3</v>
      </c>
      <c r="L118" s="5">
        <v>88.39</v>
      </c>
      <c r="M118" s="5"/>
      <c r="N118" s="5">
        <v>42</v>
      </c>
      <c r="O118" s="5"/>
      <c r="P118" s="5"/>
      <c r="Q118" s="5">
        <v>1.1000000000000001</v>
      </c>
      <c r="R118" s="5">
        <v>33.450000000000003</v>
      </c>
      <c r="S118" s="9">
        <v>-94.084699999999998</v>
      </c>
    </row>
    <row r="119" spans="1:19" hidden="1" x14ac:dyDescent="0.15">
      <c r="A119" s="6">
        <v>190</v>
      </c>
      <c r="B119" s="7" t="s">
        <v>254</v>
      </c>
      <c r="C119" s="7" t="s">
        <v>28</v>
      </c>
      <c r="D119" s="7" t="s">
        <v>29</v>
      </c>
      <c r="E119" s="7" t="s">
        <v>249</v>
      </c>
      <c r="F119" s="7">
        <v>233479</v>
      </c>
      <c r="G119" s="7">
        <v>1493</v>
      </c>
      <c r="H119" s="7">
        <v>987</v>
      </c>
      <c r="I119" s="7">
        <v>3.3000000000000002E-2</v>
      </c>
      <c r="J119" s="7">
        <v>60284</v>
      </c>
      <c r="K119" s="7">
        <v>92.8</v>
      </c>
      <c r="L119" s="7">
        <v>94.77</v>
      </c>
      <c r="M119" s="7">
        <v>23.4</v>
      </c>
      <c r="N119" s="7">
        <v>42</v>
      </c>
      <c r="O119" s="7"/>
      <c r="P119" s="7"/>
      <c r="Q119" s="7">
        <v>1.1000000000000001</v>
      </c>
      <c r="R119" s="7">
        <v>32.318399999999997</v>
      </c>
      <c r="S119" s="8">
        <v>-95.306200000000004</v>
      </c>
    </row>
    <row r="120" spans="1:19" hidden="1" x14ac:dyDescent="0.15">
      <c r="A120" s="6">
        <v>324</v>
      </c>
      <c r="B120" s="7" t="s">
        <v>375</v>
      </c>
      <c r="C120" s="7" t="s">
        <v>28</v>
      </c>
      <c r="D120" s="7" t="s">
        <v>29</v>
      </c>
      <c r="E120" s="7" t="s">
        <v>249</v>
      </c>
      <c r="F120" s="7">
        <v>98331</v>
      </c>
      <c r="G120" s="7">
        <v>1167</v>
      </c>
      <c r="H120" s="7">
        <v>1002</v>
      </c>
      <c r="I120" s="7">
        <v>3.7999999999999999E-2</v>
      </c>
      <c r="J120" s="7">
        <v>58294</v>
      </c>
      <c r="K120" s="7">
        <v>89.5</v>
      </c>
      <c r="L120" s="7">
        <v>92.09</v>
      </c>
      <c r="M120" s="7"/>
      <c r="N120" s="7">
        <v>34</v>
      </c>
      <c r="O120" s="7"/>
      <c r="P120" s="7"/>
      <c r="Q120" s="7">
        <v>2.1</v>
      </c>
      <c r="R120" s="7">
        <v>28.828700000000001</v>
      </c>
      <c r="S120" s="8">
        <v>-96.984899999999996</v>
      </c>
    </row>
    <row r="121" spans="1:19" hidden="1" x14ac:dyDescent="0.15">
      <c r="A121" s="4">
        <v>170</v>
      </c>
      <c r="B121" s="5" t="s">
        <v>232</v>
      </c>
      <c r="C121" s="5" t="s">
        <v>28</v>
      </c>
      <c r="D121" s="5" t="s">
        <v>29</v>
      </c>
      <c r="E121" s="5" t="s">
        <v>110</v>
      </c>
      <c r="F121" s="5">
        <v>277547</v>
      </c>
      <c r="G121" s="5">
        <v>1538</v>
      </c>
      <c r="H121" s="5">
        <v>840</v>
      </c>
      <c r="I121" s="5">
        <v>3.2000000000000001E-2</v>
      </c>
      <c r="J121" s="5">
        <v>49151</v>
      </c>
      <c r="K121" s="5">
        <v>89.5</v>
      </c>
      <c r="L121" s="5">
        <v>94.69</v>
      </c>
      <c r="M121" s="5">
        <v>20.100000000000001</v>
      </c>
      <c r="N121" s="5">
        <v>42</v>
      </c>
      <c r="O121" s="5"/>
      <c r="P121" s="5"/>
      <c r="Q121" s="5">
        <v>1.7</v>
      </c>
      <c r="R121" s="5">
        <v>31.559899999999999</v>
      </c>
      <c r="S121" s="9">
        <v>-97.188199999999995</v>
      </c>
    </row>
    <row r="122" spans="1:19" hidden="1" x14ac:dyDescent="0.15">
      <c r="A122" s="4">
        <v>267</v>
      </c>
      <c r="B122" s="5" t="s">
        <v>322</v>
      </c>
      <c r="C122" s="5" t="s">
        <v>28</v>
      </c>
      <c r="D122" s="5" t="s">
        <v>29</v>
      </c>
      <c r="E122" s="5" t="s">
        <v>249</v>
      </c>
      <c r="F122" s="5">
        <v>148128</v>
      </c>
      <c r="G122" s="5">
        <v>1102</v>
      </c>
      <c r="H122" s="5">
        <v>814</v>
      </c>
      <c r="I122" s="5">
        <v>3.3000000000000002E-2</v>
      </c>
      <c r="J122" s="5">
        <v>50905</v>
      </c>
      <c r="K122" s="5">
        <v>85.7</v>
      </c>
      <c r="L122" s="5">
        <v>91.13</v>
      </c>
      <c r="M122" s="5">
        <v>16.399999999999999</v>
      </c>
      <c r="N122" s="5"/>
      <c r="O122" s="5"/>
      <c r="P122" s="5"/>
      <c r="Q122" s="5">
        <v>1.7</v>
      </c>
      <c r="R122" s="5">
        <v>33.907200000000003</v>
      </c>
      <c r="S122" s="9">
        <v>-98.5291</v>
      </c>
    </row>
    <row r="123" spans="1:19" hidden="1" x14ac:dyDescent="0.15">
      <c r="A123" s="4">
        <v>193</v>
      </c>
      <c r="B123" s="5" t="s">
        <v>257</v>
      </c>
      <c r="C123" s="5" t="s">
        <v>31</v>
      </c>
      <c r="D123" s="5" t="s">
        <v>23</v>
      </c>
      <c r="E123" s="5" t="s">
        <v>249</v>
      </c>
      <c r="F123" s="5">
        <v>226847</v>
      </c>
      <c r="G123" s="5">
        <v>1775</v>
      </c>
      <c r="H123" s="5">
        <v>1169</v>
      </c>
      <c r="I123" s="5">
        <v>0.05</v>
      </c>
      <c r="J123" s="5">
        <v>58137</v>
      </c>
      <c r="K123" s="5">
        <v>111.6</v>
      </c>
      <c r="L123" s="5">
        <v>104.72</v>
      </c>
      <c r="M123" s="5">
        <v>22.5</v>
      </c>
      <c r="N123" s="5">
        <v>32</v>
      </c>
      <c r="O123" s="5"/>
      <c r="P123" s="5"/>
      <c r="Q123" s="5">
        <v>3.5</v>
      </c>
      <c r="R123" s="5">
        <v>48.754800000000003</v>
      </c>
      <c r="S123" s="9">
        <v>-122.46899999999999</v>
      </c>
    </row>
    <row r="124" spans="1:19" hidden="1" x14ac:dyDescent="0.15">
      <c r="A124" s="6">
        <v>173</v>
      </c>
      <c r="B124" s="7" t="s">
        <v>236</v>
      </c>
      <c r="C124" s="7" t="s">
        <v>31</v>
      </c>
      <c r="D124" s="7" t="s">
        <v>23</v>
      </c>
      <c r="E124" s="7" t="s">
        <v>110</v>
      </c>
      <c r="F124" s="7">
        <v>275611</v>
      </c>
      <c r="G124" s="7">
        <v>1821</v>
      </c>
      <c r="H124" s="7">
        <v>1479</v>
      </c>
      <c r="I124" s="7">
        <v>4.2999999999999997E-2</v>
      </c>
      <c r="J124" s="7">
        <v>67845</v>
      </c>
      <c r="K124" s="7">
        <v>115</v>
      </c>
      <c r="L124" s="7">
        <v>103.69</v>
      </c>
      <c r="M124" s="7">
        <v>30.8</v>
      </c>
      <c r="N124" s="7">
        <v>19</v>
      </c>
      <c r="O124" s="7"/>
      <c r="P124" s="7"/>
      <c r="Q124" s="7">
        <v>2.7</v>
      </c>
      <c r="R124" s="7">
        <v>47.543599999999998</v>
      </c>
      <c r="S124" s="8">
        <v>-122.71210000000001</v>
      </c>
    </row>
    <row r="125" spans="1:19" hidden="1" x14ac:dyDescent="0.15">
      <c r="A125" s="6">
        <v>161</v>
      </c>
      <c r="B125" s="7" t="s">
        <v>223</v>
      </c>
      <c r="C125" s="7" t="s">
        <v>31</v>
      </c>
      <c r="D125" s="7" t="s">
        <v>23</v>
      </c>
      <c r="E125" s="7" t="s">
        <v>110</v>
      </c>
      <c r="F125" s="7">
        <v>303622</v>
      </c>
      <c r="G125" s="7">
        <v>1662</v>
      </c>
      <c r="H125" s="7">
        <v>1012</v>
      </c>
      <c r="I125" s="7">
        <v>6.2E-2</v>
      </c>
      <c r="J125" s="7">
        <v>52082</v>
      </c>
      <c r="K125" s="7">
        <v>99.7</v>
      </c>
      <c r="L125" s="7">
        <v>100.51</v>
      </c>
      <c r="M125" s="7">
        <v>22.3</v>
      </c>
      <c r="N125" s="7">
        <v>34</v>
      </c>
      <c r="O125" s="7"/>
      <c r="P125" s="7"/>
      <c r="Q125" s="7">
        <v>3.9</v>
      </c>
      <c r="R125" s="7">
        <v>46.197800000000001</v>
      </c>
      <c r="S125" s="8">
        <v>-119.17319999999999</v>
      </c>
    </row>
    <row r="126" spans="1:19" hidden="1" x14ac:dyDescent="0.15">
      <c r="A126" s="4">
        <v>315</v>
      </c>
      <c r="B126" s="5" t="s">
        <v>229</v>
      </c>
      <c r="C126" s="5" t="s">
        <v>31</v>
      </c>
      <c r="D126" s="5" t="s">
        <v>23</v>
      </c>
      <c r="E126" s="5" t="s">
        <v>249</v>
      </c>
      <c r="F126" s="5">
        <v>110730</v>
      </c>
      <c r="G126" s="5">
        <v>1775</v>
      </c>
      <c r="H126" s="5">
        <v>943</v>
      </c>
      <c r="I126" s="5">
        <v>5.7999999999999996E-2</v>
      </c>
      <c r="J126" s="5">
        <v>54550</v>
      </c>
      <c r="K126" s="5">
        <v>101.6</v>
      </c>
      <c r="L126" s="5">
        <v>98.79</v>
      </c>
      <c r="M126" s="5"/>
      <c r="N126" s="5">
        <v>13</v>
      </c>
      <c r="O126" s="5"/>
      <c r="P126" s="5"/>
      <c r="Q126" s="5">
        <v>2</v>
      </c>
      <c r="R126" s="5">
        <v>46.146099999999997</v>
      </c>
      <c r="S126" s="9">
        <v>-122.96299999999999</v>
      </c>
    </row>
    <row r="127" spans="1:19" hidden="1" x14ac:dyDescent="0.15">
      <c r="A127" s="4">
        <v>292</v>
      </c>
      <c r="B127" s="5" t="s">
        <v>346</v>
      </c>
      <c r="C127" s="5" t="s">
        <v>31</v>
      </c>
      <c r="D127" s="5" t="s">
        <v>23</v>
      </c>
      <c r="E127" s="5" t="s">
        <v>249</v>
      </c>
      <c r="F127" s="5">
        <v>129523</v>
      </c>
      <c r="G127" s="5">
        <v>1812</v>
      </c>
      <c r="H127" s="5">
        <v>1189</v>
      </c>
      <c r="I127" s="5">
        <v>5.5E-2</v>
      </c>
      <c r="J127" s="5">
        <v>64093</v>
      </c>
      <c r="K127" s="5">
        <v>110.1</v>
      </c>
      <c r="L127" s="5">
        <v>100.39</v>
      </c>
      <c r="M127" s="5">
        <v>26.3</v>
      </c>
      <c r="N127" s="5">
        <v>31</v>
      </c>
      <c r="O127" s="5"/>
      <c r="P127" s="5"/>
      <c r="Q127" s="5">
        <v>2.8</v>
      </c>
      <c r="R127" s="5">
        <v>48.420299999999997</v>
      </c>
      <c r="S127" s="9">
        <v>-122.3115</v>
      </c>
    </row>
    <row r="128" spans="1:19" hidden="1" x14ac:dyDescent="0.15">
      <c r="A128" s="4">
        <v>162</v>
      </c>
      <c r="B128" s="5" t="s">
        <v>224</v>
      </c>
      <c r="C128" s="5" t="s">
        <v>31</v>
      </c>
      <c r="D128" s="5" t="s">
        <v>23</v>
      </c>
      <c r="E128" s="5" t="s">
        <v>110</v>
      </c>
      <c r="F128" s="5">
        <v>294793</v>
      </c>
      <c r="G128" s="5">
        <v>1881</v>
      </c>
      <c r="H128" s="5">
        <v>1329</v>
      </c>
      <c r="I128" s="5">
        <v>4.7E-2</v>
      </c>
      <c r="J128" s="5">
        <v>61062</v>
      </c>
      <c r="K128" s="5">
        <v>110.9</v>
      </c>
      <c r="L128" s="5">
        <v>103.59</v>
      </c>
      <c r="M128" s="5">
        <v>24.6</v>
      </c>
      <c r="N128" s="5">
        <v>22</v>
      </c>
      <c r="O128" s="5"/>
      <c r="P128" s="5"/>
      <c r="Q128" s="5">
        <v>3</v>
      </c>
      <c r="R128" s="5">
        <v>47.041699999999999</v>
      </c>
      <c r="S128" s="9">
        <v>-122.8959</v>
      </c>
    </row>
    <row r="129" spans="1:19" hidden="1" x14ac:dyDescent="0.15">
      <c r="A129" s="4">
        <v>14</v>
      </c>
      <c r="B129" s="5" t="s">
        <v>47</v>
      </c>
      <c r="C129" s="5" t="s">
        <v>31</v>
      </c>
      <c r="D129" s="5" t="s">
        <v>23</v>
      </c>
      <c r="E129" s="5" t="s">
        <v>20</v>
      </c>
      <c r="F129" s="5">
        <v>4018762</v>
      </c>
      <c r="G129" s="5">
        <v>2162</v>
      </c>
      <c r="H129" s="5">
        <v>2011</v>
      </c>
      <c r="I129" s="5">
        <v>3.4000000000000002E-2</v>
      </c>
      <c r="J129" s="5">
        <v>89274</v>
      </c>
      <c r="K129" s="5">
        <v>124.6</v>
      </c>
      <c r="L129" s="5">
        <v>114.57</v>
      </c>
      <c r="M129" s="5">
        <v>30.8</v>
      </c>
      <c r="N129" s="5">
        <v>44</v>
      </c>
      <c r="O129" s="5">
        <v>74.400000000000006</v>
      </c>
      <c r="P129" s="5">
        <v>71.099999999999994</v>
      </c>
      <c r="Q129" s="5">
        <v>5.0999999999999996</v>
      </c>
      <c r="R129" s="5">
        <v>47.621099999999998</v>
      </c>
      <c r="S129" s="9">
        <v>-122.3244</v>
      </c>
    </row>
    <row r="130" spans="1:19" hidden="1" x14ac:dyDescent="0.15">
      <c r="A130" s="4">
        <v>95</v>
      </c>
      <c r="B130" s="5" t="s">
        <v>156</v>
      </c>
      <c r="C130" s="5" t="s">
        <v>31</v>
      </c>
      <c r="D130" s="5" t="s">
        <v>23</v>
      </c>
      <c r="E130" s="5" t="s">
        <v>110</v>
      </c>
      <c r="F130" s="5">
        <v>585784</v>
      </c>
      <c r="G130" s="5">
        <v>1434</v>
      </c>
      <c r="H130" s="5">
        <v>980</v>
      </c>
      <c r="I130" s="5">
        <v>5.5E-2</v>
      </c>
      <c r="J130" s="5">
        <v>53278</v>
      </c>
      <c r="K130" s="5">
        <v>100.4</v>
      </c>
      <c r="L130" s="5">
        <v>98.71</v>
      </c>
      <c r="M130" s="5">
        <v>22.6</v>
      </c>
      <c r="N130" s="5">
        <v>40</v>
      </c>
      <c r="O130" s="5">
        <v>49.2</v>
      </c>
      <c r="P130" s="5">
        <v>52.1</v>
      </c>
      <c r="Q130" s="5">
        <v>3.8</v>
      </c>
      <c r="R130" s="5">
        <v>47.667099999999998</v>
      </c>
      <c r="S130" s="9">
        <v>-117.43300000000001</v>
      </c>
    </row>
    <row r="131" spans="1:19" hidden="1" x14ac:dyDescent="0.15">
      <c r="A131" s="6">
        <v>342</v>
      </c>
      <c r="B131" s="7" t="s">
        <v>391</v>
      </c>
      <c r="C131" s="7" t="s">
        <v>31</v>
      </c>
      <c r="D131" s="7" t="s">
        <v>23</v>
      </c>
      <c r="E131" s="7" t="s">
        <v>249</v>
      </c>
      <c r="F131" s="7">
        <v>62584</v>
      </c>
      <c r="G131" s="7">
        <v>1734</v>
      </c>
      <c r="H131" s="7">
        <v>1018</v>
      </c>
      <c r="I131" s="7">
        <v>4.9000000000000002E-2</v>
      </c>
      <c r="J131" s="7">
        <v>53845</v>
      </c>
      <c r="K131" s="7">
        <v>100.9</v>
      </c>
      <c r="L131" s="7">
        <v>99.17</v>
      </c>
      <c r="M131" s="7">
        <v>17.899999999999999</v>
      </c>
      <c r="N131" s="7">
        <v>37</v>
      </c>
      <c r="O131" s="7"/>
      <c r="P131" s="7"/>
      <c r="Q131" s="7">
        <v>2.8</v>
      </c>
      <c r="R131" s="7">
        <v>46.067100000000003</v>
      </c>
      <c r="S131" s="8">
        <v>-118.3368</v>
      </c>
    </row>
    <row r="132" spans="1:19" hidden="1" x14ac:dyDescent="0.15">
      <c r="A132" s="6">
        <v>303</v>
      </c>
      <c r="B132" s="7" t="s">
        <v>355</v>
      </c>
      <c r="C132" s="7" t="s">
        <v>31</v>
      </c>
      <c r="D132" s="7" t="s">
        <v>23</v>
      </c>
      <c r="E132" s="7" t="s">
        <v>249</v>
      </c>
      <c r="F132" s="7">
        <v>122012</v>
      </c>
      <c r="G132" s="7">
        <v>1643</v>
      </c>
      <c r="H132" s="7">
        <v>1096</v>
      </c>
      <c r="I132" s="7">
        <v>6.0999999999999999E-2</v>
      </c>
      <c r="J132" s="7">
        <v>58009</v>
      </c>
      <c r="K132" s="7">
        <v>106.6</v>
      </c>
      <c r="L132" s="7">
        <v>103.11</v>
      </c>
      <c r="M132" s="7">
        <v>18.2</v>
      </c>
      <c r="N132" s="7">
        <v>18</v>
      </c>
      <c r="O132" s="7"/>
      <c r="P132" s="7"/>
      <c r="Q132" s="7">
        <v>3.2</v>
      </c>
      <c r="R132" s="7">
        <v>47.436</v>
      </c>
      <c r="S132" s="8">
        <v>-120.3295</v>
      </c>
    </row>
    <row r="133" spans="1:19" hidden="1" x14ac:dyDescent="0.15">
      <c r="A133" s="4">
        <v>184</v>
      </c>
      <c r="B133" s="5" t="s">
        <v>246</v>
      </c>
      <c r="C133" s="5" t="s">
        <v>31</v>
      </c>
      <c r="D133" s="5" t="s">
        <v>23</v>
      </c>
      <c r="E133" s="5" t="s">
        <v>110</v>
      </c>
      <c r="F133" s="5">
        <v>256728</v>
      </c>
      <c r="G133" s="5">
        <v>1368</v>
      </c>
      <c r="H133" s="5">
        <v>922</v>
      </c>
      <c r="I133" s="5">
        <v>8.8000000000000009E-2</v>
      </c>
      <c r="J133" s="5">
        <v>50872</v>
      </c>
      <c r="K133" s="5">
        <v>97.5</v>
      </c>
      <c r="L133" s="5">
        <v>97.72</v>
      </c>
      <c r="M133" s="5">
        <v>18.7</v>
      </c>
      <c r="N133" s="5">
        <v>29</v>
      </c>
      <c r="O133" s="5"/>
      <c r="P133" s="5"/>
      <c r="Q133" s="5">
        <v>2.2999999999999998</v>
      </c>
      <c r="R133" s="5">
        <v>46.592300000000002</v>
      </c>
      <c r="S133" s="9">
        <v>-120.5496</v>
      </c>
    </row>
    <row r="134" spans="1:19" x14ac:dyDescent="0.15">
      <c r="A134" s="6"/>
      <c r="B134" s="7"/>
      <c r="C134" s="7"/>
      <c r="D134" s="7"/>
      <c r="E134" s="7"/>
      <c r="F134" s="7">
        <f>AVERAGE(F72:F75)</f>
        <v>1687087.25</v>
      </c>
      <c r="G134" s="7">
        <f t="shared" ref="G134:S134" si="0">AVERAGE(G72:G75)</f>
        <v>1980</v>
      </c>
      <c r="H134" s="58">
        <f t="shared" si="0"/>
        <v>1487.25</v>
      </c>
      <c r="I134" s="7">
        <f>AVERAGE(I72:I75)*100</f>
        <v>2.4750000000000001</v>
      </c>
      <c r="J134" s="58">
        <f t="shared" si="0"/>
        <v>70850.75</v>
      </c>
      <c r="K134" s="58">
        <f t="shared" si="0"/>
        <v>114.675</v>
      </c>
      <c r="L134" s="58">
        <f t="shared" si="0"/>
        <v>100.855</v>
      </c>
      <c r="M134" s="58">
        <f t="shared" si="0"/>
        <v>25.974999999999998</v>
      </c>
      <c r="N134" s="58">
        <f t="shared" si="0"/>
        <v>41.75</v>
      </c>
      <c r="O134" s="58">
        <f t="shared" si="0"/>
        <v>82.8</v>
      </c>
      <c r="P134" s="58">
        <f t="shared" si="0"/>
        <v>69.400000000000006</v>
      </c>
      <c r="Q134" s="58">
        <f t="shared" si="0"/>
        <v>3.1749999999999998</v>
      </c>
      <c r="R134" s="58">
        <f t="shared" si="0"/>
        <v>42.289124999999999</v>
      </c>
      <c r="S134" s="58">
        <f t="shared" si="0"/>
        <v>-72.173275000000004</v>
      </c>
    </row>
  </sheetData>
  <autoFilter ref="A1:S133" xr:uid="{EB229770-7FC6-4FE7-85E1-1B1969E89FBC}">
    <filterColumn colId="2">
      <filters>
        <filter val="Massachusetts"/>
      </filters>
    </filterColumn>
  </autoFilter>
  <sortState xmlns:xlrd2="http://schemas.microsoft.com/office/spreadsheetml/2017/richdata2" ref="A2:S135">
    <sortCondition ref="C2:C13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4D060-98F3-44FB-9924-2B21EE4229F4}">
  <sheetPr codeName="Sheet8"/>
  <dimension ref="A1:P35"/>
  <sheetViews>
    <sheetView workbookViewId="0">
      <selection activeCell="L1" sqref="L1:M35"/>
    </sheetView>
  </sheetViews>
  <sheetFormatPr baseColWidth="10" defaultColWidth="9" defaultRowHeight="14" x14ac:dyDescent="0.15"/>
  <cols>
    <col min="1" max="1" width="15" style="37" bestFit="1" customWidth="1"/>
    <col min="2" max="2" width="12.83203125" style="37" customWidth="1"/>
    <col min="3" max="3" width="10.83203125" style="37" customWidth="1"/>
    <col min="4" max="4" width="10.5" style="37" customWidth="1"/>
    <col min="5" max="5" width="10.1640625" style="37" customWidth="1"/>
    <col min="6" max="6" width="17.1640625" style="37" bestFit="1" customWidth="1"/>
    <col min="7" max="7" width="14" style="37" bestFit="1" customWidth="1"/>
    <col min="8" max="8" width="12" style="37" customWidth="1"/>
    <col min="9" max="11" width="9" style="37"/>
    <col min="12" max="12" width="18" style="37" bestFit="1" customWidth="1"/>
    <col min="13" max="13" width="19.5" style="37" bestFit="1" customWidth="1"/>
    <col min="14" max="14" width="9" style="37"/>
    <col min="15" max="15" width="18" style="37" bestFit="1" customWidth="1"/>
    <col min="16" max="16" width="19.5" style="37" bestFit="1" customWidth="1"/>
    <col min="17" max="16384" width="9" style="37"/>
  </cols>
  <sheetData>
    <row r="1" spans="1:16" ht="19" x14ac:dyDescent="0.15">
      <c r="A1" s="36" t="s">
        <v>2</v>
      </c>
      <c r="B1" s="36" t="s">
        <v>5</v>
      </c>
      <c r="C1" s="36" t="s">
        <v>10</v>
      </c>
      <c r="D1" s="36" t="s">
        <v>12</v>
      </c>
      <c r="E1" s="36" t="s">
        <v>13</v>
      </c>
      <c r="F1" s="36" t="s">
        <v>15</v>
      </c>
      <c r="G1" s="36" t="s">
        <v>719</v>
      </c>
      <c r="H1" s="36" t="s">
        <v>720</v>
      </c>
      <c r="L1" s="40" t="s">
        <v>2</v>
      </c>
      <c r="M1" s="40" t="s">
        <v>13</v>
      </c>
      <c r="O1" s="40" t="s">
        <v>2</v>
      </c>
      <c r="P1" s="40" t="s">
        <v>13</v>
      </c>
    </row>
    <row r="2" spans="1:16" ht="19" x14ac:dyDescent="0.15">
      <c r="A2" s="36" t="s">
        <v>721</v>
      </c>
      <c r="B2" s="38">
        <v>1096160.1666666667</v>
      </c>
      <c r="C2" s="38">
        <v>92.484999999999999</v>
      </c>
      <c r="D2" s="38">
        <v>46.833333333333336</v>
      </c>
      <c r="E2" s="38">
        <v>42.3</v>
      </c>
      <c r="F2" s="38">
        <v>2.1666666666666665</v>
      </c>
      <c r="G2" s="38">
        <v>167</v>
      </c>
      <c r="H2" s="38">
        <v>106</v>
      </c>
      <c r="L2" s="41" t="s">
        <v>721</v>
      </c>
      <c r="M2" s="42">
        <v>42.3</v>
      </c>
      <c r="O2" s="41" t="s">
        <v>721</v>
      </c>
      <c r="P2" s="42">
        <v>42.3</v>
      </c>
    </row>
    <row r="3" spans="1:16" ht="19" x14ac:dyDescent="0.15">
      <c r="A3" s="36" t="s">
        <v>722</v>
      </c>
      <c r="B3" s="38">
        <v>1539965.96</v>
      </c>
      <c r="C3" s="38">
        <v>106.60560000000001</v>
      </c>
      <c r="D3" s="38">
        <v>50.708333333333336</v>
      </c>
      <c r="E3" s="38">
        <v>53.377777777777773</v>
      </c>
      <c r="F3" s="38">
        <v>3.7279999999999998</v>
      </c>
      <c r="G3" s="38">
        <v>553</v>
      </c>
      <c r="H3" s="38">
        <v>658</v>
      </c>
      <c r="L3" s="41" t="s">
        <v>722</v>
      </c>
      <c r="M3" s="42">
        <v>53.377777777777773</v>
      </c>
      <c r="O3" s="41" t="s">
        <v>722</v>
      </c>
      <c r="P3" s="42">
        <v>53.377777777777773</v>
      </c>
    </row>
    <row r="4" spans="1:16" ht="19" x14ac:dyDescent="0.15">
      <c r="A4" s="36" t="s">
        <v>723</v>
      </c>
      <c r="B4" s="38">
        <v>723085.14285714284</v>
      </c>
      <c r="C4" s="38">
        <v>97.74857142857141</v>
      </c>
      <c r="D4" s="38">
        <v>46.142857142857146</v>
      </c>
      <c r="E4" s="38">
        <v>48.650000000000006</v>
      </c>
      <c r="F4" s="38">
        <v>3.0857142857142854</v>
      </c>
      <c r="G4" s="38">
        <v>133</v>
      </c>
      <c r="H4" s="38">
        <v>90</v>
      </c>
      <c r="L4" s="41" t="s">
        <v>53</v>
      </c>
      <c r="M4" s="42">
        <v>48.650000000000006</v>
      </c>
      <c r="O4" s="41" t="s">
        <v>53</v>
      </c>
      <c r="P4" s="42">
        <v>48.650000000000006</v>
      </c>
    </row>
    <row r="5" spans="1:16" ht="19" x14ac:dyDescent="0.15">
      <c r="A5" s="36" t="s">
        <v>724</v>
      </c>
      <c r="B5" s="38">
        <v>1010643.5</v>
      </c>
      <c r="C5" s="38">
        <v>97.840499999999992</v>
      </c>
      <c r="D5" s="38">
        <v>41.833333333333336</v>
      </c>
      <c r="E5" s="38">
        <v>48.199999999999996</v>
      </c>
      <c r="F5" s="38">
        <v>1.9449999999999998</v>
      </c>
      <c r="G5" s="38">
        <v>372</v>
      </c>
      <c r="H5" s="38">
        <v>385</v>
      </c>
      <c r="L5" s="41" t="s">
        <v>724</v>
      </c>
      <c r="M5" s="42">
        <v>48.199999999999996</v>
      </c>
      <c r="O5" s="41" t="s">
        <v>724</v>
      </c>
      <c r="P5" s="42">
        <v>48.199999999999996</v>
      </c>
    </row>
    <row r="6" spans="1:16" ht="19" x14ac:dyDescent="0.15">
      <c r="A6" s="36" t="s">
        <v>725</v>
      </c>
      <c r="B6" s="38">
        <v>730869.16666666663</v>
      </c>
      <c r="C6" s="38">
        <v>92.059166666666655</v>
      </c>
      <c r="D6" s="38">
        <v>39.090909090909093</v>
      </c>
      <c r="E6" s="38">
        <v>47.7</v>
      </c>
      <c r="F6" s="38">
        <v>1.1083333333333334</v>
      </c>
      <c r="G6" s="38">
        <v>212</v>
      </c>
      <c r="H6" s="38">
        <v>162</v>
      </c>
      <c r="L6" s="41" t="s">
        <v>725</v>
      </c>
      <c r="M6" s="42">
        <v>47.7</v>
      </c>
      <c r="O6" s="41" t="s">
        <v>725</v>
      </c>
      <c r="P6" s="42">
        <v>47.7</v>
      </c>
    </row>
    <row r="7" spans="1:16" ht="19" x14ac:dyDescent="0.15">
      <c r="A7" s="36" t="s">
        <v>726</v>
      </c>
      <c r="B7" s="38">
        <v>1687087.25</v>
      </c>
      <c r="C7" s="38">
        <v>100.855</v>
      </c>
      <c r="D7" s="38">
        <v>41.75</v>
      </c>
      <c r="E7" s="38">
        <v>82.8</v>
      </c>
      <c r="F7" s="38">
        <v>3.1749999999999998</v>
      </c>
      <c r="G7" s="38">
        <v>159</v>
      </c>
      <c r="H7" s="38">
        <v>146</v>
      </c>
      <c r="L7" s="41" t="s">
        <v>726</v>
      </c>
      <c r="M7" s="42">
        <v>82.8</v>
      </c>
      <c r="O7" s="41" t="s">
        <v>726</v>
      </c>
      <c r="P7" s="42">
        <v>82.8</v>
      </c>
    </row>
    <row r="8" spans="1:16" ht="19" x14ac:dyDescent="0.15">
      <c r="A8" s="36" t="s">
        <v>727</v>
      </c>
      <c r="B8" s="38">
        <v>2490254</v>
      </c>
      <c r="C8" s="38">
        <v>98.682000000000016</v>
      </c>
      <c r="D8" s="38">
        <v>37</v>
      </c>
      <c r="E8" s="38">
        <v>71.766666666666666</v>
      </c>
      <c r="F8" s="38">
        <v>2.8</v>
      </c>
      <c r="G8" s="38">
        <v>309</v>
      </c>
      <c r="H8" s="38">
        <v>418</v>
      </c>
      <c r="L8" s="41" t="s">
        <v>727</v>
      </c>
      <c r="M8" s="42">
        <v>71.766666666666666</v>
      </c>
      <c r="O8" s="41" t="s">
        <v>727</v>
      </c>
      <c r="P8" s="42">
        <v>71.766666666666666</v>
      </c>
    </row>
    <row r="9" spans="1:16" ht="19" x14ac:dyDescent="0.15">
      <c r="A9" s="36" t="s">
        <v>728</v>
      </c>
      <c r="B9" s="38">
        <v>638976.75</v>
      </c>
      <c r="C9" s="38">
        <v>92.214166666666685</v>
      </c>
      <c r="D9" s="38">
        <v>41.666666666666664</v>
      </c>
      <c r="E9" s="38">
        <v>27.76</v>
      </c>
      <c r="F9" s="38">
        <v>1.3833333333333337</v>
      </c>
      <c r="G9" s="38">
        <v>193</v>
      </c>
      <c r="H9" s="38">
        <v>171</v>
      </c>
      <c r="L9" s="41" t="s">
        <v>728</v>
      </c>
      <c r="M9" s="42">
        <v>27.76</v>
      </c>
      <c r="O9" s="41" t="s">
        <v>728</v>
      </c>
      <c r="P9" s="42">
        <v>27.76</v>
      </c>
    </row>
    <row r="10" spans="1:16" ht="19" x14ac:dyDescent="0.15">
      <c r="A10" s="36" t="s">
        <v>729</v>
      </c>
      <c r="B10" s="38">
        <v>1045946.92</v>
      </c>
      <c r="C10" s="38">
        <v>93.967200000000005</v>
      </c>
      <c r="D10" s="38">
        <v>42.75</v>
      </c>
      <c r="E10" s="38">
        <v>41.074999999999996</v>
      </c>
      <c r="F10" s="38">
        <v>2.1080000000000005</v>
      </c>
      <c r="G10" s="38">
        <v>915</v>
      </c>
      <c r="H10" s="38">
        <v>410</v>
      </c>
      <c r="L10" s="41" t="s">
        <v>729</v>
      </c>
      <c r="M10" s="42">
        <v>41.074999999999996</v>
      </c>
      <c r="O10" s="41" t="s">
        <v>729</v>
      </c>
      <c r="P10" s="42">
        <v>41.074999999999996</v>
      </c>
    </row>
    <row r="11" spans="1:16" ht="19" x14ac:dyDescent="0.15">
      <c r="A11" s="36" t="s">
        <v>730</v>
      </c>
      <c r="B11" s="38">
        <v>580636</v>
      </c>
      <c r="C11" s="38">
        <v>102.27</v>
      </c>
      <c r="D11" s="38">
        <v>29</v>
      </c>
      <c r="E11" s="38">
        <v>61.800000000000004</v>
      </c>
      <c r="F11" s="38">
        <v>3.1909090909090909</v>
      </c>
      <c r="G11" s="38">
        <v>130</v>
      </c>
      <c r="H11" s="38">
        <v>103</v>
      </c>
      <c r="L11" s="41" t="s">
        <v>730</v>
      </c>
      <c r="M11" s="42">
        <v>61.800000000000004</v>
      </c>
      <c r="O11" s="41" t="s">
        <v>730</v>
      </c>
      <c r="P11" s="42">
        <v>61.800000000000004</v>
      </c>
    </row>
    <row r="12" spans="1:16" ht="19" x14ac:dyDescent="0.15">
      <c r="L12" s="43"/>
      <c r="M12" s="44"/>
      <c r="O12" s="43"/>
      <c r="P12" s="44"/>
    </row>
    <row r="13" spans="1:16" ht="19" x14ac:dyDescent="0.15">
      <c r="L13" s="40" t="s">
        <v>2</v>
      </c>
      <c r="M13" s="45" t="s">
        <v>742</v>
      </c>
      <c r="O13" s="40" t="s">
        <v>2</v>
      </c>
      <c r="P13" s="45" t="s">
        <v>742</v>
      </c>
    </row>
    <row r="14" spans="1:16" ht="19" x14ac:dyDescent="0.15">
      <c r="L14" s="41" t="s">
        <v>721</v>
      </c>
      <c r="M14" s="42">
        <v>27.75</v>
      </c>
      <c r="O14" s="41" t="s">
        <v>721</v>
      </c>
      <c r="P14" s="42">
        <v>27.75</v>
      </c>
    </row>
    <row r="15" spans="1:16" ht="19" x14ac:dyDescent="0.15">
      <c r="L15" s="41" t="s">
        <v>722</v>
      </c>
      <c r="M15" s="42">
        <v>24</v>
      </c>
      <c r="O15" s="41" t="s">
        <v>722</v>
      </c>
      <c r="P15" s="42">
        <v>24</v>
      </c>
    </row>
    <row r="16" spans="1:16" ht="19" x14ac:dyDescent="0.15">
      <c r="L16" s="41" t="s">
        <v>723</v>
      </c>
      <c r="M16" s="42">
        <v>14.25</v>
      </c>
      <c r="O16" s="41" t="s">
        <v>723</v>
      </c>
      <c r="P16" s="42">
        <v>14.25</v>
      </c>
    </row>
    <row r="17" spans="6:16" ht="19" x14ac:dyDescent="0.15">
      <c r="L17" s="41" t="s">
        <v>724</v>
      </c>
      <c r="M17" s="42">
        <v>23.5</v>
      </c>
      <c r="O17" s="41" t="s">
        <v>724</v>
      </c>
      <c r="P17" s="42">
        <v>23.5</v>
      </c>
    </row>
    <row r="18" spans="6:16" ht="19" x14ac:dyDescent="0.15">
      <c r="L18" s="41" t="s">
        <v>725</v>
      </c>
      <c r="M18" s="42">
        <v>18.25</v>
      </c>
      <c r="O18" s="41" t="s">
        <v>725</v>
      </c>
      <c r="P18" s="42">
        <v>18.25</v>
      </c>
    </row>
    <row r="19" spans="6:16" ht="19" x14ac:dyDescent="0.15">
      <c r="L19" s="41" t="s">
        <v>726</v>
      </c>
      <c r="M19" s="42">
        <v>15</v>
      </c>
      <c r="O19" s="41" t="s">
        <v>726</v>
      </c>
      <c r="P19" s="42">
        <v>15</v>
      </c>
    </row>
    <row r="20" spans="6:16" ht="19" x14ac:dyDescent="0.15">
      <c r="L20" s="41" t="s">
        <v>727</v>
      </c>
      <c r="M20" s="42">
        <v>16</v>
      </c>
      <c r="O20" s="41" t="s">
        <v>727</v>
      </c>
      <c r="P20" s="42">
        <v>16</v>
      </c>
    </row>
    <row r="21" spans="6:16" ht="19" x14ac:dyDescent="0.15">
      <c r="L21" s="41" t="s">
        <v>728</v>
      </c>
      <c r="M21" s="42">
        <v>19.75</v>
      </c>
      <c r="O21" s="41" t="s">
        <v>728</v>
      </c>
      <c r="P21" s="42">
        <v>19.75</v>
      </c>
    </row>
    <row r="22" spans="6:16" ht="19" x14ac:dyDescent="0.15">
      <c r="L22" s="41" t="s">
        <v>729</v>
      </c>
      <c r="M22" s="42">
        <v>24.25</v>
      </c>
      <c r="O22" s="41" t="s">
        <v>729</v>
      </c>
      <c r="P22" s="42">
        <v>24.25</v>
      </c>
    </row>
    <row r="23" spans="6:16" ht="19" x14ac:dyDescent="0.15">
      <c r="L23" s="41" t="s">
        <v>730</v>
      </c>
      <c r="M23" s="42">
        <v>19</v>
      </c>
      <c r="O23" s="41" t="s">
        <v>730</v>
      </c>
      <c r="P23" s="42">
        <v>19</v>
      </c>
    </row>
    <row r="24" spans="6:16" ht="19" x14ac:dyDescent="0.15">
      <c r="L24" s="43"/>
      <c r="M24" s="44"/>
      <c r="O24" s="43"/>
      <c r="P24" s="44"/>
    </row>
    <row r="25" spans="6:16" ht="19" x14ac:dyDescent="0.15">
      <c r="F25" s="40" t="s">
        <v>2</v>
      </c>
      <c r="G25" s="45" t="s">
        <v>15</v>
      </c>
      <c r="L25" s="40" t="s">
        <v>2</v>
      </c>
      <c r="M25" s="45" t="s">
        <v>15</v>
      </c>
      <c r="O25" s="40" t="s">
        <v>2</v>
      </c>
      <c r="P25" s="45" t="s">
        <v>15</v>
      </c>
    </row>
    <row r="26" spans="6:16" ht="19" x14ac:dyDescent="0.15">
      <c r="F26" s="41" t="s">
        <v>721</v>
      </c>
      <c r="G26" s="42"/>
      <c r="L26" s="41" t="s">
        <v>721</v>
      </c>
      <c r="M26" s="42">
        <v>2.1666666666666665</v>
      </c>
      <c r="O26" s="41" t="s">
        <v>721</v>
      </c>
      <c r="P26" s="42">
        <v>2.1666666666666665</v>
      </c>
    </row>
    <row r="27" spans="6:16" ht="19" x14ac:dyDescent="0.15">
      <c r="F27" s="41" t="s">
        <v>722</v>
      </c>
      <c r="G27" s="42"/>
      <c r="L27" s="41" t="s">
        <v>722</v>
      </c>
      <c r="M27" s="42">
        <v>3.7279999999999998</v>
      </c>
      <c r="O27" s="41" t="s">
        <v>722</v>
      </c>
      <c r="P27" s="42">
        <v>3.7279999999999998</v>
      </c>
    </row>
    <row r="28" spans="6:16" ht="19" x14ac:dyDescent="0.15">
      <c r="F28" s="41" t="s">
        <v>723</v>
      </c>
      <c r="G28" s="42"/>
      <c r="L28" s="41" t="s">
        <v>723</v>
      </c>
      <c r="M28" s="42">
        <v>3.0857142857142854</v>
      </c>
      <c r="O28" s="41" t="s">
        <v>723</v>
      </c>
      <c r="P28" s="42">
        <v>3.0857142857142854</v>
      </c>
    </row>
    <row r="29" spans="6:16" ht="19" x14ac:dyDescent="0.15">
      <c r="F29" s="41" t="s">
        <v>724</v>
      </c>
      <c r="G29" s="42"/>
      <c r="L29" s="41" t="s">
        <v>724</v>
      </c>
      <c r="M29" s="42">
        <v>1.9449999999999998</v>
      </c>
      <c r="O29" s="41" t="s">
        <v>724</v>
      </c>
      <c r="P29" s="42">
        <v>1.9449999999999998</v>
      </c>
    </row>
    <row r="30" spans="6:16" ht="19" x14ac:dyDescent="0.15">
      <c r="F30" s="41" t="s">
        <v>725</v>
      </c>
      <c r="G30" s="42"/>
      <c r="L30" s="41" t="s">
        <v>725</v>
      </c>
      <c r="M30" s="42">
        <v>1.1083333333333334</v>
      </c>
      <c r="O30" s="41" t="s">
        <v>725</v>
      </c>
      <c r="P30" s="42">
        <v>1.1083333333333334</v>
      </c>
    </row>
    <row r="31" spans="6:16" ht="19" x14ac:dyDescent="0.15">
      <c r="F31" s="41" t="s">
        <v>726</v>
      </c>
      <c r="G31" s="42"/>
      <c r="L31" s="41" t="s">
        <v>726</v>
      </c>
      <c r="M31" s="42">
        <v>3.1749999999999998</v>
      </c>
      <c r="O31" s="41" t="s">
        <v>726</v>
      </c>
      <c r="P31" s="42">
        <v>3.1749999999999998</v>
      </c>
    </row>
    <row r="32" spans="6:16" ht="19" x14ac:dyDescent="0.15">
      <c r="F32" s="41" t="s">
        <v>727</v>
      </c>
      <c r="G32" s="42"/>
      <c r="L32" s="41" t="s">
        <v>727</v>
      </c>
      <c r="M32" s="42">
        <v>2.8</v>
      </c>
      <c r="O32" s="41" t="s">
        <v>727</v>
      </c>
      <c r="P32" s="42">
        <v>2.8</v>
      </c>
    </row>
    <row r="33" spans="6:16" ht="19" x14ac:dyDescent="0.15">
      <c r="F33" s="41" t="s">
        <v>728</v>
      </c>
      <c r="G33" s="42"/>
      <c r="L33" s="41" t="s">
        <v>728</v>
      </c>
      <c r="M33" s="42">
        <v>1.3833333333333337</v>
      </c>
      <c r="O33" s="41" t="s">
        <v>728</v>
      </c>
      <c r="P33" s="42">
        <v>1.3833333333333337</v>
      </c>
    </row>
    <row r="34" spans="6:16" ht="19" x14ac:dyDescent="0.15">
      <c r="F34" s="41" t="s">
        <v>729</v>
      </c>
      <c r="G34" s="42"/>
      <c r="L34" s="41" t="s">
        <v>729</v>
      </c>
      <c r="M34" s="42">
        <v>2.1080000000000005</v>
      </c>
      <c r="O34" s="41" t="s">
        <v>729</v>
      </c>
      <c r="P34" s="42">
        <v>2.1080000000000005</v>
      </c>
    </row>
    <row r="35" spans="6:16" ht="19" x14ac:dyDescent="0.15">
      <c r="F35" s="41" t="s">
        <v>730</v>
      </c>
      <c r="G35" s="42"/>
      <c r="L35" s="41" t="s">
        <v>730</v>
      </c>
      <c r="M35" s="42">
        <v>3.1909090909090909</v>
      </c>
      <c r="O35" s="41" t="s">
        <v>730</v>
      </c>
      <c r="P35" s="42">
        <v>3.1909090909090909</v>
      </c>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0100A7E3-D7C8-4B69-8334-A50782DEA197}">
            <x14:iconSet iconSet="3Stars">
              <x14:cfvo type="percent">
                <xm:f>0</xm:f>
              </x14:cfvo>
              <x14:cfvo type="percent">
                <xm:f>33</xm:f>
              </x14:cfvo>
              <x14:cfvo type="percent">
                <xm:f>67</xm:f>
              </x14:cfvo>
            </x14:iconSet>
          </x14:cfRule>
          <xm:sqref>F25:G35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92E3B-CD69-40C6-A7E0-006111DD4EA0}">
  <sheetPr codeName="Sheet1"/>
  <dimension ref="A1:S345"/>
  <sheetViews>
    <sheetView workbookViewId="0">
      <selection activeCell="G2" sqref="G2"/>
    </sheetView>
  </sheetViews>
  <sheetFormatPr baseColWidth="10" defaultColWidth="8.83203125" defaultRowHeight="14" x14ac:dyDescent="0.15"/>
  <cols>
    <col min="1" max="1" width="10.83203125" customWidth="1"/>
    <col min="2" max="2" width="25.1640625" customWidth="1"/>
    <col min="3" max="3" width="18.1640625" customWidth="1"/>
    <col min="4" max="5" width="9.5" customWidth="1"/>
    <col min="6" max="6" width="12.6640625" customWidth="1"/>
    <col min="7" max="7" width="10.5" customWidth="1"/>
    <col min="8" max="8" width="13.83203125" customWidth="1"/>
    <col min="10" max="10" width="12.83203125" customWidth="1"/>
    <col min="11" max="11" width="14" customWidth="1"/>
    <col min="12" max="12" width="12.5" customWidth="1"/>
    <col min="13" max="13" width="16.1640625" customWidth="1"/>
    <col min="14" max="14" width="13" customWidth="1"/>
    <col min="15" max="15" width="12.33203125" customWidth="1"/>
    <col min="16" max="16" width="11.6640625" customWidth="1"/>
    <col min="17" max="17" width="13.83203125" customWidth="1"/>
    <col min="18" max="18" width="10.1640625" customWidth="1"/>
    <col min="19" max="19" width="11.83203125" customWidth="1"/>
  </cols>
  <sheetData>
    <row r="1" spans="1:19" x14ac:dyDescent="0.15">
      <c r="A1" t="s">
        <v>0</v>
      </c>
      <c r="B1" t="s">
        <v>1</v>
      </c>
      <c r="C1" t="s">
        <v>2</v>
      </c>
      <c r="D1" t="s">
        <v>3</v>
      </c>
      <c r="E1" t="s">
        <v>4</v>
      </c>
      <c r="F1" t="s">
        <v>5</v>
      </c>
      <c r="G1" t="s">
        <v>6</v>
      </c>
      <c r="H1" t="s">
        <v>7</v>
      </c>
      <c r="I1" t="s">
        <v>716</v>
      </c>
      <c r="J1" t="s">
        <v>8</v>
      </c>
      <c r="K1" t="s">
        <v>9</v>
      </c>
      <c r="L1" t="s">
        <v>10</v>
      </c>
      <c r="M1" t="s">
        <v>11</v>
      </c>
      <c r="N1" t="s">
        <v>12</v>
      </c>
      <c r="O1" t="s">
        <v>13</v>
      </c>
      <c r="P1" t="s">
        <v>14</v>
      </c>
      <c r="Q1" t="s">
        <v>15</v>
      </c>
      <c r="R1" t="s">
        <v>16</v>
      </c>
      <c r="S1" t="s">
        <v>17</v>
      </c>
    </row>
    <row r="2" spans="1:19" x14ac:dyDescent="0.15">
      <c r="A2">
        <v>0</v>
      </c>
      <c r="B2" t="s">
        <v>18</v>
      </c>
      <c r="C2" t="s">
        <v>18</v>
      </c>
      <c r="D2" t="s">
        <v>19</v>
      </c>
      <c r="E2" t="s">
        <v>20</v>
      </c>
      <c r="F2">
        <v>20140470</v>
      </c>
      <c r="G2">
        <v>3272</v>
      </c>
      <c r="H2">
        <v>2323</v>
      </c>
      <c r="I2">
        <v>3.7999999999999999E-2</v>
      </c>
      <c r="J2">
        <v>85136</v>
      </c>
      <c r="K2">
        <v>128</v>
      </c>
      <c r="L2">
        <v>114.58</v>
      </c>
      <c r="M2">
        <v>36.700000000000003</v>
      </c>
      <c r="N2">
        <v>50</v>
      </c>
      <c r="O2">
        <v>88</v>
      </c>
      <c r="P2">
        <v>69.3</v>
      </c>
      <c r="Q2">
        <v>6.9</v>
      </c>
      <c r="R2">
        <v>40.694299999999998</v>
      </c>
      <c r="S2">
        <v>-73.924899999999994</v>
      </c>
    </row>
    <row r="3" spans="1:19" x14ac:dyDescent="0.15">
      <c r="A3">
        <v>1</v>
      </c>
      <c r="B3" t="s">
        <v>21</v>
      </c>
      <c r="C3" t="s">
        <v>22</v>
      </c>
      <c r="D3" t="s">
        <v>23</v>
      </c>
      <c r="E3" t="s">
        <v>20</v>
      </c>
      <c r="F3">
        <v>13200998</v>
      </c>
      <c r="G3">
        <v>2857</v>
      </c>
      <c r="H3">
        <v>1925</v>
      </c>
      <c r="I3">
        <v>3.9E-2</v>
      </c>
      <c r="J3">
        <v>75821</v>
      </c>
      <c r="K3">
        <v>140.6</v>
      </c>
      <c r="L3">
        <v>113.82</v>
      </c>
      <c r="M3">
        <v>30.7</v>
      </c>
      <c r="N3">
        <v>70</v>
      </c>
      <c r="O3">
        <v>68.599999999999994</v>
      </c>
      <c r="P3">
        <v>58.7</v>
      </c>
      <c r="Q3">
        <v>6.2</v>
      </c>
      <c r="R3">
        <v>34.114100000000001</v>
      </c>
      <c r="S3">
        <v>-118.4068</v>
      </c>
    </row>
    <row r="4" spans="1:19" x14ac:dyDescent="0.15">
      <c r="A4">
        <v>2</v>
      </c>
      <c r="B4" t="s">
        <v>24</v>
      </c>
      <c r="C4" t="s">
        <v>25</v>
      </c>
      <c r="D4" t="s">
        <v>26</v>
      </c>
      <c r="E4" t="s">
        <v>20</v>
      </c>
      <c r="F4">
        <v>9618502</v>
      </c>
      <c r="G4">
        <v>1975</v>
      </c>
      <c r="H4">
        <v>1364</v>
      </c>
      <c r="I4">
        <v>4.2000000000000003E-2</v>
      </c>
      <c r="J4">
        <v>71992</v>
      </c>
      <c r="K4">
        <v>100.1</v>
      </c>
      <c r="L4">
        <v>105.42</v>
      </c>
      <c r="M4">
        <v>31.8</v>
      </c>
      <c r="N4">
        <v>50</v>
      </c>
      <c r="O4">
        <v>77.2</v>
      </c>
      <c r="P4">
        <v>72.2</v>
      </c>
      <c r="Q4">
        <v>5.0999999999999996</v>
      </c>
      <c r="R4">
        <v>41.837499999999999</v>
      </c>
      <c r="S4">
        <v>-87.686599999999999</v>
      </c>
    </row>
    <row r="5" spans="1:19" x14ac:dyDescent="0.15">
      <c r="A5">
        <v>3</v>
      </c>
      <c r="B5" t="s">
        <v>27</v>
      </c>
      <c r="C5" t="s">
        <v>28</v>
      </c>
      <c r="D5" t="s">
        <v>29</v>
      </c>
      <c r="E5" t="s">
        <v>20</v>
      </c>
      <c r="F5">
        <v>7637387</v>
      </c>
      <c r="G5">
        <v>1754</v>
      </c>
      <c r="H5">
        <v>1440</v>
      </c>
      <c r="I5">
        <v>3.2000000000000001E-2</v>
      </c>
      <c r="J5">
        <v>66727</v>
      </c>
      <c r="K5">
        <v>98.5</v>
      </c>
      <c r="L5">
        <v>103.85</v>
      </c>
      <c r="M5">
        <v>28.6</v>
      </c>
      <c r="N5">
        <v>51</v>
      </c>
      <c r="O5">
        <v>46</v>
      </c>
      <c r="P5">
        <v>49.3</v>
      </c>
      <c r="Q5">
        <v>2.8</v>
      </c>
      <c r="R5">
        <v>32.793500000000002</v>
      </c>
      <c r="S5">
        <v>-96.7667</v>
      </c>
    </row>
    <row r="6" spans="1:19" x14ac:dyDescent="0.15">
      <c r="A6">
        <v>4</v>
      </c>
      <c r="B6" t="s">
        <v>30</v>
      </c>
      <c r="C6" t="s">
        <v>28</v>
      </c>
      <c r="D6" t="s">
        <v>29</v>
      </c>
      <c r="E6" t="s">
        <v>20</v>
      </c>
      <c r="F6">
        <v>7122240</v>
      </c>
      <c r="G6">
        <v>1620</v>
      </c>
      <c r="H6">
        <v>1216</v>
      </c>
      <c r="I6">
        <v>3.9E-2</v>
      </c>
      <c r="J6">
        <v>64837</v>
      </c>
      <c r="K6">
        <v>95.8</v>
      </c>
      <c r="L6">
        <v>99.74</v>
      </c>
      <c r="M6">
        <v>30</v>
      </c>
      <c r="N6">
        <v>57</v>
      </c>
      <c r="O6">
        <v>47.5</v>
      </c>
      <c r="P6">
        <v>48.6</v>
      </c>
      <c r="Q6">
        <v>2.8</v>
      </c>
      <c r="R6">
        <v>29.786000000000001</v>
      </c>
      <c r="S6">
        <v>-95.388499999999993</v>
      </c>
    </row>
    <row r="7" spans="1:19" x14ac:dyDescent="0.15">
      <c r="A7">
        <v>5</v>
      </c>
      <c r="B7" t="s">
        <v>31</v>
      </c>
      <c r="C7" t="s">
        <v>32</v>
      </c>
      <c r="D7" t="s">
        <v>29</v>
      </c>
      <c r="E7" t="s">
        <v>20</v>
      </c>
      <c r="F7">
        <v>6385162</v>
      </c>
      <c r="G7">
        <v>2421</v>
      </c>
      <c r="H7">
        <v>1740</v>
      </c>
      <c r="I7">
        <v>2.7999999999999997E-2</v>
      </c>
      <c r="J7">
        <v>80822</v>
      </c>
      <c r="K7">
        <v>120.1</v>
      </c>
      <c r="L7">
        <v>111.34</v>
      </c>
      <c r="M7">
        <v>34.799999999999997</v>
      </c>
      <c r="N7">
        <v>45</v>
      </c>
      <c r="O7">
        <v>76.7</v>
      </c>
      <c r="P7">
        <v>69.5</v>
      </c>
      <c r="Q7">
        <v>5.5</v>
      </c>
      <c r="R7">
        <v>38.904699999999998</v>
      </c>
      <c r="S7">
        <v>-77.016300000000001</v>
      </c>
    </row>
    <row r="8" spans="1:19" x14ac:dyDescent="0.15">
      <c r="A8">
        <v>6</v>
      </c>
      <c r="B8" t="s">
        <v>33</v>
      </c>
      <c r="C8" t="s">
        <v>34</v>
      </c>
      <c r="D8" t="s">
        <v>19</v>
      </c>
      <c r="E8" t="s">
        <v>20</v>
      </c>
      <c r="F8">
        <v>6245051</v>
      </c>
      <c r="G8">
        <v>1663</v>
      </c>
      <c r="H8">
        <v>1314</v>
      </c>
      <c r="I8">
        <v>3.4000000000000002E-2</v>
      </c>
      <c r="J8">
        <v>72379</v>
      </c>
      <c r="K8">
        <v>103.4</v>
      </c>
      <c r="L8">
        <v>99.21</v>
      </c>
      <c r="M8">
        <v>29.8</v>
      </c>
      <c r="N8">
        <v>48</v>
      </c>
      <c r="O8">
        <v>74.8</v>
      </c>
      <c r="P8">
        <v>66.7</v>
      </c>
      <c r="Q8">
        <v>5.3</v>
      </c>
      <c r="R8">
        <v>40.0077</v>
      </c>
      <c r="S8">
        <v>-75.133899999999997</v>
      </c>
    </row>
    <row r="9" spans="1:19" x14ac:dyDescent="0.15">
      <c r="A9">
        <v>7</v>
      </c>
      <c r="B9" t="s">
        <v>35</v>
      </c>
      <c r="C9" t="s">
        <v>36</v>
      </c>
      <c r="D9" t="s">
        <v>29</v>
      </c>
      <c r="E9" t="s">
        <v>20</v>
      </c>
      <c r="F9">
        <v>6138333</v>
      </c>
      <c r="G9">
        <v>3201</v>
      </c>
      <c r="H9">
        <v>1670</v>
      </c>
      <c r="I9">
        <v>1.9E-2</v>
      </c>
      <c r="J9">
        <v>73522</v>
      </c>
      <c r="K9">
        <v>110.1</v>
      </c>
      <c r="L9">
        <v>109.92</v>
      </c>
      <c r="M9">
        <v>29.6</v>
      </c>
      <c r="N9">
        <v>45</v>
      </c>
      <c r="O9">
        <v>76.599999999999994</v>
      </c>
      <c r="P9">
        <v>64</v>
      </c>
      <c r="Q9">
        <v>5.2</v>
      </c>
      <c r="R9">
        <v>25.783999999999999</v>
      </c>
      <c r="S9">
        <v>-80.210099999999997</v>
      </c>
    </row>
    <row r="10" spans="1:19" x14ac:dyDescent="0.15">
      <c r="A10">
        <v>8</v>
      </c>
      <c r="B10" t="s">
        <v>37</v>
      </c>
      <c r="C10" t="s">
        <v>38</v>
      </c>
      <c r="D10" t="s">
        <v>29</v>
      </c>
      <c r="E10" t="s">
        <v>20</v>
      </c>
      <c r="F10">
        <v>6089815</v>
      </c>
      <c r="G10">
        <v>1991</v>
      </c>
      <c r="H10">
        <v>1489</v>
      </c>
      <c r="I10">
        <v>2.6000000000000002E-2</v>
      </c>
      <c r="J10">
        <v>63219</v>
      </c>
      <c r="K10">
        <v>100.3</v>
      </c>
      <c r="L10">
        <v>99.12</v>
      </c>
      <c r="M10">
        <v>32.1</v>
      </c>
      <c r="N10">
        <v>48</v>
      </c>
      <c r="O10">
        <v>47.7</v>
      </c>
      <c r="P10">
        <v>41.7</v>
      </c>
      <c r="Q10">
        <v>2.5</v>
      </c>
      <c r="R10">
        <v>33.762799999999999</v>
      </c>
      <c r="S10">
        <v>-84.421999999999997</v>
      </c>
    </row>
    <row r="11" spans="1:19" x14ac:dyDescent="0.15">
      <c r="A11">
        <v>9</v>
      </c>
      <c r="B11" t="s">
        <v>39</v>
      </c>
      <c r="C11" t="s">
        <v>40</v>
      </c>
      <c r="D11" t="s">
        <v>19</v>
      </c>
      <c r="E11" t="s">
        <v>20</v>
      </c>
      <c r="F11">
        <v>4941632</v>
      </c>
      <c r="G11">
        <v>3419</v>
      </c>
      <c r="H11">
        <v>2368</v>
      </c>
      <c r="I11">
        <v>2.8999999999999998E-2</v>
      </c>
      <c r="J11">
        <v>92290</v>
      </c>
      <c r="K11">
        <v>132.6</v>
      </c>
      <c r="L11">
        <v>109.69</v>
      </c>
      <c r="M11">
        <v>31.2</v>
      </c>
      <c r="N11">
        <v>44</v>
      </c>
      <c r="O11">
        <v>82.8</v>
      </c>
      <c r="P11">
        <v>69.400000000000006</v>
      </c>
      <c r="Q11">
        <v>5</v>
      </c>
      <c r="R11">
        <v>42.318800000000003</v>
      </c>
      <c r="S11">
        <v>-71.0852</v>
      </c>
    </row>
    <row r="12" spans="1:19" x14ac:dyDescent="0.15">
      <c r="A12">
        <v>10</v>
      </c>
      <c r="B12" t="s">
        <v>41</v>
      </c>
      <c r="C12" t="s">
        <v>42</v>
      </c>
      <c r="D12" t="s">
        <v>23</v>
      </c>
      <c r="E12" t="s">
        <v>20</v>
      </c>
      <c r="F12">
        <v>4845832</v>
      </c>
      <c r="G12">
        <v>1755</v>
      </c>
      <c r="H12">
        <v>1584</v>
      </c>
      <c r="I12">
        <v>2.7000000000000003E-2</v>
      </c>
      <c r="J12">
        <v>58308</v>
      </c>
      <c r="K12">
        <v>104.3</v>
      </c>
      <c r="L12">
        <v>99.18</v>
      </c>
      <c r="M12">
        <v>26.4</v>
      </c>
      <c r="N12">
        <v>77</v>
      </c>
      <c r="O12">
        <v>41.4</v>
      </c>
      <c r="P12">
        <v>55.9</v>
      </c>
      <c r="Q12">
        <v>4.0999999999999996</v>
      </c>
      <c r="R12">
        <v>33.572200000000002</v>
      </c>
      <c r="S12">
        <v>-112.08920000000001</v>
      </c>
    </row>
    <row r="13" spans="1:19" x14ac:dyDescent="0.15">
      <c r="A13">
        <v>11</v>
      </c>
      <c r="B13" t="s">
        <v>43</v>
      </c>
      <c r="C13" t="s">
        <v>22</v>
      </c>
      <c r="D13" t="s">
        <v>23</v>
      </c>
      <c r="E13" t="s">
        <v>20</v>
      </c>
      <c r="F13">
        <v>4749008</v>
      </c>
      <c r="G13">
        <v>3422</v>
      </c>
      <c r="H13">
        <v>3000</v>
      </c>
      <c r="I13">
        <v>2.4E-2</v>
      </c>
      <c r="J13">
        <v>123711</v>
      </c>
      <c r="K13">
        <v>178.6</v>
      </c>
      <c r="L13">
        <v>119.83</v>
      </c>
      <c r="M13">
        <v>33.6</v>
      </c>
      <c r="N13">
        <v>44</v>
      </c>
      <c r="O13">
        <v>88.7</v>
      </c>
      <c r="P13">
        <v>72.3</v>
      </c>
      <c r="Q13">
        <v>6.8</v>
      </c>
      <c r="R13">
        <v>37.755800000000001</v>
      </c>
      <c r="S13">
        <v>-122.4449</v>
      </c>
    </row>
    <row r="14" spans="1:19" x14ac:dyDescent="0.15">
      <c r="A14">
        <v>12</v>
      </c>
      <c r="B14" t="s">
        <v>44</v>
      </c>
      <c r="C14" t="s">
        <v>22</v>
      </c>
      <c r="D14" t="s">
        <v>23</v>
      </c>
      <c r="E14" t="s">
        <v>20</v>
      </c>
      <c r="F14">
        <v>4599839</v>
      </c>
      <c r="G14">
        <v>2399</v>
      </c>
      <c r="H14">
        <v>1533</v>
      </c>
      <c r="I14">
        <v>3.6000000000000004E-2</v>
      </c>
      <c r="J14">
        <v>50384</v>
      </c>
      <c r="K14">
        <v>116.1</v>
      </c>
      <c r="L14">
        <v>105.53</v>
      </c>
      <c r="M14">
        <v>32.9</v>
      </c>
      <c r="N14">
        <v>84</v>
      </c>
      <c r="O14">
        <v>42.7</v>
      </c>
      <c r="P14">
        <v>48.9</v>
      </c>
      <c r="Q14">
        <v>3.8</v>
      </c>
      <c r="R14">
        <v>33.938099999999999</v>
      </c>
      <c r="S14">
        <v>-117.39490000000001</v>
      </c>
    </row>
    <row r="15" spans="1:19" x14ac:dyDescent="0.15">
      <c r="A15">
        <v>13</v>
      </c>
      <c r="B15" t="s">
        <v>45</v>
      </c>
      <c r="C15" t="s">
        <v>46</v>
      </c>
      <c r="D15" t="s">
        <v>26</v>
      </c>
      <c r="E15" t="s">
        <v>20</v>
      </c>
      <c r="F15">
        <v>4392041</v>
      </c>
      <c r="G15">
        <v>1201</v>
      </c>
      <c r="H15">
        <v>1024</v>
      </c>
      <c r="I15">
        <v>3.2000000000000001E-2</v>
      </c>
      <c r="J15">
        <v>60965</v>
      </c>
      <c r="K15">
        <v>93.2</v>
      </c>
      <c r="L15">
        <v>96.11</v>
      </c>
      <c r="M15">
        <v>27.1</v>
      </c>
      <c r="N15">
        <v>54</v>
      </c>
      <c r="O15">
        <v>51.1</v>
      </c>
      <c r="P15">
        <v>52.1</v>
      </c>
      <c r="Q15">
        <v>2.8</v>
      </c>
      <c r="R15">
        <v>42.383400000000002</v>
      </c>
      <c r="S15">
        <v>-83.102400000000003</v>
      </c>
    </row>
    <row r="16" spans="1:19" x14ac:dyDescent="0.15">
      <c r="A16">
        <v>14</v>
      </c>
      <c r="B16" t="s">
        <v>47</v>
      </c>
      <c r="C16" t="s">
        <v>31</v>
      </c>
      <c r="D16" t="s">
        <v>23</v>
      </c>
      <c r="E16" t="s">
        <v>20</v>
      </c>
      <c r="F16">
        <v>4018762</v>
      </c>
      <c r="G16">
        <v>2162</v>
      </c>
      <c r="H16">
        <v>2011</v>
      </c>
      <c r="I16">
        <v>3.4000000000000002E-2</v>
      </c>
      <c r="J16">
        <v>89274</v>
      </c>
      <c r="K16">
        <v>124.6</v>
      </c>
      <c r="L16">
        <v>114.57</v>
      </c>
      <c r="M16">
        <v>30.8</v>
      </c>
      <c r="N16">
        <v>44</v>
      </c>
      <c r="O16">
        <v>74.400000000000006</v>
      </c>
      <c r="P16">
        <v>71.099999999999994</v>
      </c>
      <c r="Q16">
        <v>5.0999999999999996</v>
      </c>
      <c r="R16">
        <v>47.621099999999998</v>
      </c>
      <c r="S16">
        <v>-122.3244</v>
      </c>
    </row>
    <row r="17" spans="1:19" x14ac:dyDescent="0.15">
      <c r="A17">
        <v>15</v>
      </c>
      <c r="B17" t="s">
        <v>48</v>
      </c>
      <c r="C17" t="s">
        <v>49</v>
      </c>
      <c r="D17" t="s">
        <v>26</v>
      </c>
      <c r="E17" t="s">
        <v>20</v>
      </c>
      <c r="F17">
        <v>3690261</v>
      </c>
      <c r="G17">
        <v>1625</v>
      </c>
      <c r="H17">
        <v>1239</v>
      </c>
      <c r="I17">
        <v>2.6000000000000002E-2</v>
      </c>
      <c r="J17">
        <v>71912</v>
      </c>
      <c r="K17">
        <v>105.4</v>
      </c>
      <c r="L17">
        <v>103.58</v>
      </c>
      <c r="M17">
        <v>25.3</v>
      </c>
      <c r="N17">
        <v>44</v>
      </c>
      <c r="O17">
        <v>71.400000000000006</v>
      </c>
      <c r="P17">
        <v>83.5</v>
      </c>
      <c r="Q17">
        <v>3.7</v>
      </c>
      <c r="R17">
        <v>44.963500000000003</v>
      </c>
      <c r="S17">
        <v>-93.267799999999994</v>
      </c>
    </row>
    <row r="18" spans="1:19" x14ac:dyDescent="0.15">
      <c r="A18">
        <v>16</v>
      </c>
      <c r="B18" t="s">
        <v>50</v>
      </c>
      <c r="C18" t="s">
        <v>22</v>
      </c>
      <c r="D18" t="s">
        <v>23</v>
      </c>
      <c r="E18" t="s">
        <v>20</v>
      </c>
      <c r="F18">
        <v>3298634</v>
      </c>
      <c r="G18">
        <v>3016</v>
      </c>
      <c r="H18">
        <v>2055</v>
      </c>
      <c r="I18">
        <v>2.8999999999999998E-2</v>
      </c>
      <c r="J18">
        <v>72637</v>
      </c>
      <c r="K18">
        <v>136.19999999999999</v>
      </c>
      <c r="L18">
        <v>115.15</v>
      </c>
      <c r="M18">
        <v>26</v>
      </c>
      <c r="N18">
        <v>49</v>
      </c>
      <c r="O18">
        <v>53.3</v>
      </c>
      <c r="P18">
        <v>43</v>
      </c>
      <c r="Q18">
        <v>5.3</v>
      </c>
      <c r="R18">
        <v>32.831299999999999</v>
      </c>
      <c r="S18">
        <v>-117.12220000000001</v>
      </c>
    </row>
    <row r="19" spans="1:19" x14ac:dyDescent="0.15">
      <c r="A19">
        <v>17</v>
      </c>
      <c r="B19" t="s">
        <v>51</v>
      </c>
      <c r="C19" t="s">
        <v>36</v>
      </c>
      <c r="D19" t="s">
        <v>29</v>
      </c>
      <c r="E19" t="s">
        <v>20</v>
      </c>
      <c r="F19">
        <v>3175275</v>
      </c>
      <c r="G19">
        <v>2146</v>
      </c>
      <c r="H19">
        <v>1488</v>
      </c>
      <c r="I19">
        <v>2.2000000000000002E-2</v>
      </c>
      <c r="J19">
        <v>58315</v>
      </c>
      <c r="K19">
        <v>101.4</v>
      </c>
      <c r="L19">
        <v>98.97</v>
      </c>
      <c r="M19">
        <v>27.2</v>
      </c>
      <c r="N19">
        <v>46</v>
      </c>
      <c r="O19">
        <v>49.5</v>
      </c>
      <c r="P19">
        <v>55.2</v>
      </c>
      <c r="Q19">
        <v>3.3</v>
      </c>
      <c r="R19">
        <v>27.994499999999999</v>
      </c>
      <c r="S19">
        <v>-82.444699999999997</v>
      </c>
    </row>
    <row r="20" spans="1:19" x14ac:dyDescent="0.15">
      <c r="A20">
        <v>18</v>
      </c>
      <c r="B20" t="s">
        <v>52</v>
      </c>
      <c r="C20" t="s">
        <v>53</v>
      </c>
      <c r="D20" t="s">
        <v>23</v>
      </c>
      <c r="E20" t="s">
        <v>20</v>
      </c>
      <c r="F20">
        <v>2963821</v>
      </c>
      <c r="G20">
        <v>1956</v>
      </c>
      <c r="H20">
        <v>1665</v>
      </c>
      <c r="I20">
        <v>2.7999999999999997E-2</v>
      </c>
      <c r="J20">
        <v>78150</v>
      </c>
      <c r="K20">
        <v>112.1</v>
      </c>
      <c r="L20">
        <v>109.16</v>
      </c>
      <c r="M20">
        <v>27.3</v>
      </c>
      <c r="N20">
        <v>61</v>
      </c>
      <c r="O20">
        <v>61.2</v>
      </c>
      <c r="P20">
        <v>71.8</v>
      </c>
      <c r="Q20">
        <v>5.3</v>
      </c>
      <c r="R20">
        <v>39.762</v>
      </c>
      <c r="S20">
        <v>-104.8758</v>
      </c>
    </row>
    <row r="21" spans="1:19" x14ac:dyDescent="0.15">
      <c r="A21">
        <v>19</v>
      </c>
      <c r="B21" t="s">
        <v>54</v>
      </c>
      <c r="C21" t="s">
        <v>55</v>
      </c>
      <c r="D21" t="s">
        <v>19</v>
      </c>
      <c r="E21" t="s">
        <v>20</v>
      </c>
      <c r="F21">
        <v>2844510</v>
      </c>
      <c r="G21">
        <v>1611</v>
      </c>
      <c r="H21">
        <v>1359</v>
      </c>
      <c r="I21">
        <v>3.1E-2</v>
      </c>
      <c r="J21">
        <v>70490</v>
      </c>
      <c r="K21">
        <v>107</v>
      </c>
      <c r="L21">
        <v>105.01</v>
      </c>
      <c r="M21">
        <v>31</v>
      </c>
      <c r="N21">
        <v>45</v>
      </c>
      <c r="O21">
        <v>64.3</v>
      </c>
      <c r="P21">
        <v>53.4</v>
      </c>
      <c r="Q21">
        <v>4.2</v>
      </c>
      <c r="R21">
        <v>39.305100000000003</v>
      </c>
      <c r="S21">
        <v>-76.614400000000003</v>
      </c>
    </row>
    <row r="22" spans="1:19" x14ac:dyDescent="0.15">
      <c r="A22">
        <v>20</v>
      </c>
      <c r="B22" t="s">
        <v>56</v>
      </c>
      <c r="C22" t="s">
        <v>57</v>
      </c>
      <c r="D22" t="s">
        <v>26</v>
      </c>
      <c r="E22" t="s">
        <v>20</v>
      </c>
      <c r="F22">
        <v>2820253</v>
      </c>
      <c r="G22">
        <v>1217</v>
      </c>
      <c r="H22">
        <v>853</v>
      </c>
      <c r="I22">
        <v>2.5000000000000001E-2</v>
      </c>
      <c r="J22">
        <v>64769</v>
      </c>
      <c r="K22">
        <v>89.6</v>
      </c>
      <c r="L22">
        <v>96.25</v>
      </c>
      <c r="M22">
        <v>26</v>
      </c>
      <c r="N22">
        <v>52</v>
      </c>
      <c r="O22">
        <v>65.7</v>
      </c>
      <c r="P22">
        <v>57.7</v>
      </c>
      <c r="Q22">
        <v>3.8</v>
      </c>
      <c r="R22">
        <v>38.635899999999999</v>
      </c>
      <c r="S22">
        <v>-90.245099999999994</v>
      </c>
    </row>
    <row r="23" spans="1:19" x14ac:dyDescent="0.15">
      <c r="A23">
        <v>21</v>
      </c>
      <c r="B23" t="s">
        <v>58</v>
      </c>
      <c r="C23" t="s">
        <v>36</v>
      </c>
      <c r="D23" t="s">
        <v>29</v>
      </c>
      <c r="E23" t="s">
        <v>20</v>
      </c>
      <c r="F23">
        <v>2673376</v>
      </c>
      <c r="G23">
        <v>1974</v>
      </c>
      <c r="H23">
        <v>1536</v>
      </c>
      <c r="I23">
        <v>2.3E-2</v>
      </c>
      <c r="J23">
        <v>53102</v>
      </c>
      <c r="K23">
        <v>101.4</v>
      </c>
      <c r="L23">
        <v>99.82</v>
      </c>
      <c r="M23">
        <v>28.7</v>
      </c>
      <c r="N23">
        <v>44</v>
      </c>
      <c r="O23">
        <v>41.1</v>
      </c>
      <c r="P23">
        <v>56.8</v>
      </c>
      <c r="Q23">
        <v>3.3</v>
      </c>
      <c r="R23">
        <v>28.4773</v>
      </c>
      <c r="S23">
        <v>-81.337000000000003</v>
      </c>
    </row>
    <row r="24" spans="1:19" x14ac:dyDescent="0.15">
      <c r="A24">
        <v>22</v>
      </c>
      <c r="B24" t="s">
        <v>59</v>
      </c>
      <c r="C24" t="s">
        <v>60</v>
      </c>
      <c r="D24" t="s">
        <v>29</v>
      </c>
      <c r="E24" t="s">
        <v>20</v>
      </c>
      <c r="F24">
        <v>2660329</v>
      </c>
      <c r="G24">
        <v>1767</v>
      </c>
      <c r="H24">
        <v>1288</v>
      </c>
      <c r="I24">
        <v>3.1E-2</v>
      </c>
      <c r="J24">
        <v>62056</v>
      </c>
      <c r="K24">
        <v>97.9</v>
      </c>
      <c r="L24">
        <v>96.6</v>
      </c>
      <c r="M24">
        <v>26.5</v>
      </c>
      <c r="N24">
        <v>47</v>
      </c>
      <c r="O24">
        <v>26.4</v>
      </c>
      <c r="P24">
        <v>31.3</v>
      </c>
      <c r="Q24">
        <v>2.2000000000000002</v>
      </c>
      <c r="R24">
        <v>35.208300000000001</v>
      </c>
      <c r="S24">
        <v>-80.830299999999994</v>
      </c>
    </row>
    <row r="25" spans="1:19" x14ac:dyDescent="0.15">
      <c r="A25">
        <v>23</v>
      </c>
      <c r="B25" t="s">
        <v>61</v>
      </c>
      <c r="C25" t="s">
        <v>28</v>
      </c>
      <c r="D25" t="s">
        <v>29</v>
      </c>
      <c r="E25" t="s">
        <v>20</v>
      </c>
      <c r="F25">
        <v>2558143</v>
      </c>
      <c r="G25">
        <v>1441</v>
      </c>
      <c r="H25">
        <v>1138</v>
      </c>
      <c r="I25">
        <v>3.3000000000000002E-2</v>
      </c>
      <c r="J25">
        <v>53648</v>
      </c>
      <c r="K25">
        <v>92.7</v>
      </c>
      <c r="L25">
        <v>96.38</v>
      </c>
      <c r="M25">
        <v>26.7</v>
      </c>
      <c r="N25">
        <v>51</v>
      </c>
      <c r="O25">
        <v>36.9</v>
      </c>
      <c r="P25">
        <v>44.5</v>
      </c>
      <c r="Q25">
        <v>4.5</v>
      </c>
      <c r="R25">
        <v>29.463200000000001</v>
      </c>
      <c r="S25">
        <v>-98.523799999999994</v>
      </c>
    </row>
    <row r="26" spans="1:19" x14ac:dyDescent="0.15">
      <c r="A26">
        <v>24</v>
      </c>
      <c r="B26" t="s">
        <v>62</v>
      </c>
      <c r="C26" t="s">
        <v>63</v>
      </c>
      <c r="D26" t="s">
        <v>23</v>
      </c>
      <c r="E26" t="s">
        <v>20</v>
      </c>
      <c r="F26">
        <v>2512859</v>
      </c>
      <c r="G26">
        <v>1793</v>
      </c>
      <c r="H26">
        <v>1689</v>
      </c>
      <c r="I26">
        <v>4.0999999999999995E-2</v>
      </c>
      <c r="J26">
        <v>68374</v>
      </c>
      <c r="K26">
        <v>116.5</v>
      </c>
      <c r="L26">
        <v>105.37</v>
      </c>
      <c r="M26">
        <v>27.5</v>
      </c>
      <c r="N26">
        <v>34</v>
      </c>
      <c r="O26">
        <v>67.3</v>
      </c>
      <c r="P26">
        <v>82.7</v>
      </c>
      <c r="Q26">
        <v>6.1</v>
      </c>
      <c r="R26">
        <v>45.537100000000002</v>
      </c>
      <c r="S26">
        <v>-122.65</v>
      </c>
    </row>
    <row r="27" spans="1:19" x14ac:dyDescent="0.15">
      <c r="A27">
        <v>25</v>
      </c>
      <c r="B27" t="s">
        <v>64</v>
      </c>
      <c r="C27" t="s">
        <v>22</v>
      </c>
      <c r="D27" t="s">
        <v>23</v>
      </c>
      <c r="E27" t="s">
        <v>20</v>
      </c>
      <c r="F27">
        <v>2397382</v>
      </c>
      <c r="G27">
        <v>2068</v>
      </c>
      <c r="H27">
        <v>1518</v>
      </c>
      <c r="I27">
        <v>3.3000000000000002E-2</v>
      </c>
      <c r="J27">
        <v>65972</v>
      </c>
      <c r="K27">
        <v>120.3</v>
      </c>
      <c r="L27">
        <v>106.29</v>
      </c>
      <c r="M27">
        <v>27.1</v>
      </c>
      <c r="N27">
        <v>54</v>
      </c>
      <c r="O27">
        <v>49</v>
      </c>
      <c r="P27">
        <v>66.900000000000006</v>
      </c>
      <c r="Q27">
        <v>4</v>
      </c>
      <c r="R27">
        <v>38.567700000000002</v>
      </c>
      <c r="S27">
        <v>-121.46850000000001</v>
      </c>
    </row>
    <row r="28" spans="1:19" x14ac:dyDescent="0.15">
      <c r="A28">
        <v>26</v>
      </c>
      <c r="B28" t="s">
        <v>65</v>
      </c>
      <c r="C28" t="s">
        <v>34</v>
      </c>
      <c r="D28" t="s">
        <v>19</v>
      </c>
      <c r="E28" t="s">
        <v>20</v>
      </c>
      <c r="F28">
        <v>2370930</v>
      </c>
      <c r="G28">
        <v>1403</v>
      </c>
      <c r="H28">
        <v>977</v>
      </c>
      <c r="I28">
        <v>3.7000000000000005E-2</v>
      </c>
      <c r="J28">
        <v>65730</v>
      </c>
      <c r="K28">
        <v>93.1</v>
      </c>
      <c r="L28">
        <v>95.15</v>
      </c>
      <c r="M28">
        <v>26.7</v>
      </c>
      <c r="N28">
        <v>46</v>
      </c>
      <c r="O28">
        <v>62.4</v>
      </c>
      <c r="P28">
        <v>54.9</v>
      </c>
      <c r="Q28">
        <v>3.3</v>
      </c>
      <c r="R28">
        <v>40.439700000000002</v>
      </c>
      <c r="S28">
        <v>-79.976299999999995</v>
      </c>
    </row>
    <row r="29" spans="1:19" x14ac:dyDescent="0.15">
      <c r="A29">
        <v>27</v>
      </c>
      <c r="B29" t="s">
        <v>66</v>
      </c>
      <c r="C29" t="s">
        <v>28</v>
      </c>
      <c r="D29" t="s">
        <v>29</v>
      </c>
      <c r="E29" t="s">
        <v>20</v>
      </c>
      <c r="F29">
        <v>2283371</v>
      </c>
      <c r="G29">
        <v>1840</v>
      </c>
      <c r="H29">
        <v>1483</v>
      </c>
      <c r="I29">
        <v>2.7000000000000003E-2</v>
      </c>
      <c r="J29">
        <v>71372</v>
      </c>
      <c r="K29">
        <v>106.6</v>
      </c>
      <c r="L29">
        <v>100.04</v>
      </c>
      <c r="M29">
        <v>27.1</v>
      </c>
      <c r="N29">
        <v>45</v>
      </c>
      <c r="O29">
        <v>41.7</v>
      </c>
      <c r="P29">
        <v>54</v>
      </c>
      <c r="Q29">
        <v>2.8</v>
      </c>
      <c r="R29">
        <v>30.3005</v>
      </c>
      <c r="S29">
        <v>-97.752200000000002</v>
      </c>
    </row>
    <row r="30" spans="1:19" x14ac:dyDescent="0.15">
      <c r="A30">
        <v>28</v>
      </c>
      <c r="B30" t="s">
        <v>67</v>
      </c>
      <c r="C30" t="s">
        <v>68</v>
      </c>
      <c r="D30" t="s">
        <v>23</v>
      </c>
      <c r="E30" t="s">
        <v>20</v>
      </c>
      <c r="F30">
        <v>2265461</v>
      </c>
      <c r="G30">
        <v>1781</v>
      </c>
      <c r="H30">
        <v>1309</v>
      </c>
      <c r="I30">
        <v>5.4000000000000006E-2</v>
      </c>
      <c r="J30">
        <v>58276</v>
      </c>
      <c r="K30">
        <v>100.7</v>
      </c>
      <c r="L30">
        <v>95.54</v>
      </c>
      <c r="M30">
        <v>24.7</v>
      </c>
      <c r="N30">
        <v>63</v>
      </c>
      <c r="O30">
        <v>42</v>
      </c>
      <c r="P30">
        <v>46.5</v>
      </c>
      <c r="Q30">
        <v>4.8</v>
      </c>
      <c r="R30">
        <v>36.2333</v>
      </c>
      <c r="S30">
        <v>-115.2654</v>
      </c>
    </row>
    <row r="31" spans="1:19" x14ac:dyDescent="0.15">
      <c r="A31">
        <v>29</v>
      </c>
      <c r="B31" t="s">
        <v>69</v>
      </c>
      <c r="C31" t="s">
        <v>70</v>
      </c>
      <c r="D31" t="s">
        <v>26</v>
      </c>
      <c r="E31" t="s">
        <v>20</v>
      </c>
      <c r="F31">
        <v>2256884</v>
      </c>
      <c r="G31">
        <v>1395</v>
      </c>
      <c r="H31">
        <v>899</v>
      </c>
      <c r="I31">
        <v>3.1E-2</v>
      </c>
      <c r="J31">
        <v>63116</v>
      </c>
      <c r="K31">
        <v>92.4</v>
      </c>
      <c r="L31">
        <v>94.34</v>
      </c>
      <c r="M31">
        <v>24.7</v>
      </c>
      <c r="N31">
        <v>51</v>
      </c>
      <c r="O31">
        <v>49.1</v>
      </c>
      <c r="P31">
        <v>35.6</v>
      </c>
      <c r="Q31">
        <v>2.5</v>
      </c>
      <c r="R31">
        <v>39.141300000000001</v>
      </c>
      <c r="S31">
        <v>-84.506</v>
      </c>
    </row>
    <row r="32" spans="1:19" x14ac:dyDescent="0.15">
      <c r="A32">
        <v>30</v>
      </c>
      <c r="B32" t="s">
        <v>71</v>
      </c>
      <c r="C32" t="s">
        <v>57</v>
      </c>
      <c r="D32" t="s">
        <v>26</v>
      </c>
      <c r="E32" t="s">
        <v>20</v>
      </c>
      <c r="F32">
        <v>2192035</v>
      </c>
      <c r="G32">
        <v>1293</v>
      </c>
      <c r="H32">
        <v>1082</v>
      </c>
      <c r="I32">
        <v>2.4E-2</v>
      </c>
      <c r="J32">
        <v>61410</v>
      </c>
      <c r="K32">
        <v>91.6</v>
      </c>
      <c r="L32">
        <v>93.66</v>
      </c>
      <c r="M32">
        <v>23.2</v>
      </c>
      <c r="N32">
        <v>48</v>
      </c>
      <c r="O32">
        <v>35.299999999999997</v>
      </c>
      <c r="P32">
        <v>35</v>
      </c>
      <c r="Q32">
        <v>2.2999999999999998</v>
      </c>
      <c r="R32">
        <v>39.123800000000003</v>
      </c>
      <c r="S32">
        <v>-94.554100000000005</v>
      </c>
    </row>
    <row r="33" spans="1:19" x14ac:dyDescent="0.15">
      <c r="A33">
        <v>31</v>
      </c>
      <c r="B33" t="s">
        <v>72</v>
      </c>
      <c r="C33" t="s">
        <v>70</v>
      </c>
      <c r="D33" t="s">
        <v>26</v>
      </c>
      <c r="E33" t="s">
        <v>20</v>
      </c>
      <c r="F33">
        <v>2138926</v>
      </c>
      <c r="G33">
        <v>1343</v>
      </c>
      <c r="H33">
        <v>1010</v>
      </c>
      <c r="I33">
        <v>3.1E-2</v>
      </c>
      <c r="J33">
        <v>59867</v>
      </c>
      <c r="K33">
        <v>93.9</v>
      </c>
      <c r="L33">
        <v>95.02</v>
      </c>
      <c r="M33">
        <v>24</v>
      </c>
      <c r="N33">
        <v>44</v>
      </c>
      <c r="O33">
        <v>41.2</v>
      </c>
      <c r="P33">
        <v>47.7</v>
      </c>
      <c r="Q33">
        <v>2.9</v>
      </c>
      <c r="R33">
        <v>39.986199999999997</v>
      </c>
      <c r="S33">
        <v>-82.985500000000002</v>
      </c>
    </row>
    <row r="34" spans="1:19" x14ac:dyDescent="0.15">
      <c r="A34">
        <v>32</v>
      </c>
      <c r="B34" t="s">
        <v>73</v>
      </c>
      <c r="C34" t="s">
        <v>74</v>
      </c>
      <c r="D34" t="s">
        <v>26</v>
      </c>
      <c r="E34" t="s">
        <v>20</v>
      </c>
      <c r="F34">
        <v>2111040</v>
      </c>
      <c r="G34">
        <v>1303</v>
      </c>
      <c r="H34">
        <v>956</v>
      </c>
      <c r="I34">
        <v>2.2000000000000002E-2</v>
      </c>
      <c r="J34">
        <v>65805</v>
      </c>
      <c r="K34">
        <v>90.2</v>
      </c>
      <c r="L34">
        <v>95.03</v>
      </c>
      <c r="M34">
        <v>24.7</v>
      </c>
      <c r="N34">
        <v>48</v>
      </c>
      <c r="O34">
        <v>31</v>
      </c>
      <c r="P34">
        <v>42.8</v>
      </c>
      <c r="Q34">
        <v>2.4</v>
      </c>
      <c r="R34">
        <v>39.777099999999997</v>
      </c>
      <c r="S34">
        <v>-86.145799999999994</v>
      </c>
    </row>
    <row r="35" spans="1:19" x14ac:dyDescent="0.15">
      <c r="A35">
        <v>33</v>
      </c>
      <c r="B35" t="s">
        <v>75</v>
      </c>
      <c r="C35" t="s">
        <v>70</v>
      </c>
      <c r="D35" t="s">
        <v>26</v>
      </c>
      <c r="E35" t="s">
        <v>20</v>
      </c>
      <c r="F35">
        <v>2088251</v>
      </c>
      <c r="G35">
        <v>1273</v>
      </c>
      <c r="H35">
        <v>872</v>
      </c>
      <c r="I35">
        <v>3.4000000000000002E-2</v>
      </c>
      <c r="J35">
        <v>61948</v>
      </c>
      <c r="K35">
        <v>90</v>
      </c>
      <c r="L35">
        <v>94.2</v>
      </c>
      <c r="M35">
        <v>24.6</v>
      </c>
      <c r="N35">
        <v>47</v>
      </c>
      <c r="O35">
        <v>57.1</v>
      </c>
      <c r="P35">
        <v>52.3</v>
      </c>
      <c r="Q35">
        <v>4.7</v>
      </c>
      <c r="R35">
        <v>41.476399999999998</v>
      </c>
      <c r="S35">
        <v>-81.680499999999995</v>
      </c>
    </row>
    <row r="36" spans="1:19" x14ac:dyDescent="0.15">
      <c r="A36">
        <v>34</v>
      </c>
      <c r="B36" t="s">
        <v>76</v>
      </c>
      <c r="C36" t="s">
        <v>22</v>
      </c>
      <c r="D36" t="s">
        <v>23</v>
      </c>
      <c r="E36" t="s">
        <v>20</v>
      </c>
      <c r="F36">
        <v>2000468</v>
      </c>
      <c r="G36">
        <v>3016</v>
      </c>
      <c r="H36">
        <v>2763</v>
      </c>
      <c r="I36">
        <v>2.1000000000000001E-2</v>
      </c>
      <c r="J36">
        <v>136338</v>
      </c>
      <c r="K36">
        <v>173.5</v>
      </c>
      <c r="L36">
        <v>111.64</v>
      </c>
      <c r="M36">
        <v>29</v>
      </c>
      <c r="N36">
        <v>44</v>
      </c>
      <c r="O36">
        <v>50.5</v>
      </c>
      <c r="P36">
        <v>61.5</v>
      </c>
      <c r="Q36">
        <v>6.4</v>
      </c>
      <c r="R36">
        <v>37.301200000000001</v>
      </c>
      <c r="S36">
        <v>-121.848</v>
      </c>
    </row>
    <row r="37" spans="1:19" x14ac:dyDescent="0.15">
      <c r="A37">
        <v>35</v>
      </c>
      <c r="B37" t="s">
        <v>77</v>
      </c>
      <c r="C37" t="s">
        <v>78</v>
      </c>
      <c r="D37" t="s">
        <v>29</v>
      </c>
      <c r="E37" t="s">
        <v>20</v>
      </c>
      <c r="F37">
        <v>1989519</v>
      </c>
      <c r="G37">
        <v>1830</v>
      </c>
      <c r="H37">
        <v>1353</v>
      </c>
      <c r="I37">
        <v>2.3E-2</v>
      </c>
      <c r="J37">
        <v>70026</v>
      </c>
      <c r="K37">
        <v>100.1</v>
      </c>
      <c r="L37">
        <v>95.53</v>
      </c>
      <c r="M37">
        <v>27.6</v>
      </c>
      <c r="N37">
        <v>45</v>
      </c>
      <c r="Q37">
        <v>1.7</v>
      </c>
      <c r="R37">
        <v>36.171500000000002</v>
      </c>
      <c r="S37">
        <v>-86.784199999999998</v>
      </c>
    </row>
    <row r="38" spans="1:19" x14ac:dyDescent="0.15">
      <c r="A38">
        <v>36</v>
      </c>
      <c r="B38" t="s">
        <v>79</v>
      </c>
      <c r="C38" t="s">
        <v>80</v>
      </c>
      <c r="D38" t="s">
        <v>29</v>
      </c>
      <c r="E38" t="s">
        <v>20</v>
      </c>
      <c r="F38">
        <v>1799674</v>
      </c>
      <c r="G38">
        <v>1842</v>
      </c>
      <c r="H38">
        <v>1215</v>
      </c>
      <c r="I38">
        <v>0.03</v>
      </c>
      <c r="J38">
        <v>56716</v>
      </c>
      <c r="K38">
        <v>99</v>
      </c>
      <c r="L38">
        <v>97.79</v>
      </c>
      <c r="M38">
        <v>24</v>
      </c>
      <c r="N38">
        <v>37</v>
      </c>
      <c r="O38">
        <v>33.1</v>
      </c>
      <c r="P38">
        <v>41.7</v>
      </c>
      <c r="Q38">
        <v>3.2</v>
      </c>
      <c r="R38">
        <v>36.733499999999999</v>
      </c>
      <c r="S38">
        <v>-76.043499999999995</v>
      </c>
    </row>
    <row r="39" spans="1:19" x14ac:dyDescent="0.15">
      <c r="A39">
        <v>37</v>
      </c>
      <c r="B39" t="s">
        <v>81</v>
      </c>
      <c r="C39" t="s">
        <v>82</v>
      </c>
      <c r="D39" t="s">
        <v>19</v>
      </c>
      <c r="E39" t="s">
        <v>20</v>
      </c>
      <c r="F39">
        <v>1676579</v>
      </c>
      <c r="G39">
        <v>1962</v>
      </c>
      <c r="H39">
        <v>1275</v>
      </c>
      <c r="I39">
        <v>2.7000000000000003E-2</v>
      </c>
      <c r="J39">
        <v>64566</v>
      </c>
      <c r="K39">
        <v>111.5</v>
      </c>
      <c r="L39">
        <v>101.2</v>
      </c>
      <c r="M39">
        <v>26</v>
      </c>
      <c r="N39">
        <v>42</v>
      </c>
      <c r="Q39">
        <v>3.5</v>
      </c>
      <c r="R39">
        <v>41.823</v>
      </c>
      <c r="S39">
        <v>-71.418700000000001</v>
      </c>
    </row>
    <row r="40" spans="1:19" x14ac:dyDescent="0.15">
      <c r="A40">
        <v>38</v>
      </c>
      <c r="B40" t="s">
        <v>83</v>
      </c>
      <c r="C40" t="s">
        <v>36</v>
      </c>
      <c r="D40" t="s">
        <v>29</v>
      </c>
      <c r="E40" t="s">
        <v>20</v>
      </c>
      <c r="F40">
        <v>1605848</v>
      </c>
      <c r="G40">
        <v>1657</v>
      </c>
      <c r="H40">
        <v>1195</v>
      </c>
      <c r="I40">
        <v>2.1000000000000001E-2</v>
      </c>
      <c r="J40">
        <v>59271</v>
      </c>
      <c r="K40">
        <v>99</v>
      </c>
      <c r="L40">
        <v>98.73</v>
      </c>
      <c r="M40">
        <v>27.5</v>
      </c>
      <c r="N40">
        <v>46</v>
      </c>
      <c r="O40">
        <v>25.6</v>
      </c>
      <c r="P40">
        <v>40.5</v>
      </c>
      <c r="Q40">
        <v>2.6</v>
      </c>
      <c r="R40">
        <v>30.3322</v>
      </c>
      <c r="S40">
        <v>-81.674899999999994</v>
      </c>
    </row>
    <row r="41" spans="1:19" x14ac:dyDescent="0.15">
      <c r="A41">
        <v>39</v>
      </c>
      <c r="B41" t="s">
        <v>84</v>
      </c>
      <c r="C41" t="s">
        <v>85</v>
      </c>
      <c r="D41" t="s">
        <v>26</v>
      </c>
      <c r="E41" t="s">
        <v>20</v>
      </c>
      <c r="F41">
        <v>1574731</v>
      </c>
      <c r="G41">
        <v>1130</v>
      </c>
      <c r="H41">
        <v>971</v>
      </c>
      <c r="I41">
        <v>2.4E-2</v>
      </c>
      <c r="J41">
        <v>65803</v>
      </c>
      <c r="K41">
        <v>93.8</v>
      </c>
      <c r="L41">
        <v>95.61</v>
      </c>
      <c r="M41">
        <v>22.7</v>
      </c>
      <c r="N41">
        <v>44</v>
      </c>
      <c r="O41">
        <v>61.5</v>
      </c>
      <c r="P41">
        <v>57.6</v>
      </c>
      <c r="Q41">
        <v>4.5999999999999996</v>
      </c>
      <c r="R41">
        <v>43.0642</v>
      </c>
      <c r="S41">
        <v>-87.967500000000001</v>
      </c>
    </row>
    <row r="42" spans="1:19" x14ac:dyDescent="0.15">
      <c r="A42">
        <v>40</v>
      </c>
      <c r="B42" t="s">
        <v>86</v>
      </c>
      <c r="C42" t="s">
        <v>87</v>
      </c>
      <c r="D42" t="s">
        <v>29</v>
      </c>
      <c r="E42" t="s">
        <v>20</v>
      </c>
      <c r="F42">
        <v>1425695</v>
      </c>
      <c r="G42">
        <v>1215</v>
      </c>
      <c r="H42">
        <v>873</v>
      </c>
      <c r="I42">
        <v>2.4E-2</v>
      </c>
      <c r="J42">
        <v>57150</v>
      </c>
      <c r="K42">
        <v>87.3</v>
      </c>
      <c r="L42">
        <v>92.76</v>
      </c>
      <c r="M42">
        <v>22.5</v>
      </c>
      <c r="N42">
        <v>50</v>
      </c>
      <c r="O42">
        <v>34.1</v>
      </c>
      <c r="P42">
        <v>40.200000000000003</v>
      </c>
      <c r="Q42">
        <v>1.7</v>
      </c>
      <c r="R42">
        <v>35.467599999999997</v>
      </c>
      <c r="S42">
        <v>-97.513599999999997</v>
      </c>
    </row>
    <row r="43" spans="1:19" x14ac:dyDescent="0.15">
      <c r="A43">
        <v>41</v>
      </c>
      <c r="B43" t="s">
        <v>88</v>
      </c>
      <c r="C43" t="s">
        <v>60</v>
      </c>
      <c r="D43" t="s">
        <v>29</v>
      </c>
      <c r="E43" t="s">
        <v>20</v>
      </c>
      <c r="F43">
        <v>1413982</v>
      </c>
      <c r="G43">
        <v>1640</v>
      </c>
      <c r="H43">
        <v>1353</v>
      </c>
      <c r="I43">
        <v>2.7000000000000003E-2</v>
      </c>
      <c r="J43">
        <v>66428</v>
      </c>
      <c r="K43">
        <v>99.7</v>
      </c>
      <c r="L43">
        <v>97.58</v>
      </c>
      <c r="M43">
        <v>25.9</v>
      </c>
      <c r="N43">
        <v>43</v>
      </c>
      <c r="O43">
        <v>31.3</v>
      </c>
      <c r="P43">
        <v>39.299999999999997</v>
      </c>
      <c r="Q43">
        <v>2.2999999999999998</v>
      </c>
      <c r="R43">
        <v>35.8324</v>
      </c>
      <c r="S43">
        <v>-78.642899999999997</v>
      </c>
    </row>
    <row r="44" spans="1:19" x14ac:dyDescent="0.15">
      <c r="A44">
        <v>42</v>
      </c>
      <c r="B44" t="s">
        <v>89</v>
      </c>
      <c r="C44" t="s">
        <v>78</v>
      </c>
      <c r="D44" t="s">
        <v>29</v>
      </c>
      <c r="E44" t="s">
        <v>20</v>
      </c>
      <c r="F44">
        <v>1337779</v>
      </c>
      <c r="G44">
        <v>1292</v>
      </c>
      <c r="H44">
        <v>962</v>
      </c>
      <c r="I44">
        <v>3.7000000000000005E-2</v>
      </c>
      <c r="J44">
        <v>56568</v>
      </c>
      <c r="K44">
        <v>88.2</v>
      </c>
      <c r="L44">
        <v>90.62</v>
      </c>
      <c r="M44">
        <v>24.4</v>
      </c>
      <c r="N44">
        <v>43</v>
      </c>
      <c r="O44">
        <v>35</v>
      </c>
      <c r="P44">
        <v>41.2</v>
      </c>
      <c r="Q44">
        <v>2.2999999999999998</v>
      </c>
      <c r="R44">
        <v>35.108699999999999</v>
      </c>
      <c r="S44">
        <v>-89.966300000000004</v>
      </c>
    </row>
    <row r="45" spans="1:19" x14ac:dyDescent="0.15">
      <c r="A45">
        <v>43</v>
      </c>
      <c r="B45" t="s">
        <v>90</v>
      </c>
      <c r="C45" t="s">
        <v>80</v>
      </c>
      <c r="D45" t="s">
        <v>29</v>
      </c>
      <c r="E45" t="s">
        <v>20</v>
      </c>
      <c r="F45">
        <v>1314434</v>
      </c>
      <c r="G45">
        <v>1454</v>
      </c>
      <c r="H45">
        <v>1271</v>
      </c>
      <c r="I45">
        <v>2.8999999999999998E-2</v>
      </c>
      <c r="J45">
        <v>65834</v>
      </c>
      <c r="K45">
        <v>99.2</v>
      </c>
      <c r="L45">
        <v>97.92</v>
      </c>
      <c r="M45">
        <v>25.6</v>
      </c>
      <c r="N45">
        <v>39</v>
      </c>
      <c r="O45">
        <v>50.9</v>
      </c>
      <c r="P45">
        <v>50.8</v>
      </c>
      <c r="Q45">
        <v>2.4</v>
      </c>
      <c r="R45">
        <v>37.529499999999999</v>
      </c>
      <c r="S45">
        <v>-77.4756</v>
      </c>
    </row>
    <row r="46" spans="1:19" x14ac:dyDescent="0.15">
      <c r="A46">
        <v>44</v>
      </c>
      <c r="B46" t="s">
        <v>91</v>
      </c>
      <c r="C46" t="s">
        <v>92</v>
      </c>
      <c r="D46" t="s">
        <v>29</v>
      </c>
      <c r="E46" t="s">
        <v>20</v>
      </c>
      <c r="F46">
        <v>1285439</v>
      </c>
      <c r="G46">
        <v>1262</v>
      </c>
      <c r="H46">
        <v>931</v>
      </c>
      <c r="I46">
        <v>2.7000000000000003E-2</v>
      </c>
      <c r="J46">
        <v>59425</v>
      </c>
      <c r="K46">
        <v>91.6</v>
      </c>
      <c r="L46">
        <v>91.81</v>
      </c>
      <c r="M46">
        <v>23.9</v>
      </c>
      <c r="N46">
        <v>44</v>
      </c>
      <c r="O46">
        <v>34.299999999999997</v>
      </c>
      <c r="P46">
        <v>43.3</v>
      </c>
      <c r="Q46">
        <v>2.9</v>
      </c>
      <c r="R46">
        <v>38.1663</v>
      </c>
      <c r="S46">
        <v>-85.648499999999999</v>
      </c>
    </row>
    <row r="47" spans="1:19" x14ac:dyDescent="0.15">
      <c r="A47">
        <v>45</v>
      </c>
      <c r="B47" t="s">
        <v>93</v>
      </c>
      <c r="C47" t="s">
        <v>94</v>
      </c>
      <c r="D47" t="s">
        <v>29</v>
      </c>
      <c r="E47" t="s">
        <v>20</v>
      </c>
      <c r="F47">
        <v>1271845</v>
      </c>
      <c r="G47">
        <v>1615</v>
      </c>
      <c r="H47">
        <v>1075</v>
      </c>
      <c r="I47">
        <v>3.5000000000000003E-2</v>
      </c>
      <c r="J47">
        <v>61327</v>
      </c>
      <c r="K47">
        <v>92.4</v>
      </c>
      <c r="L47">
        <v>94.42</v>
      </c>
      <c r="M47">
        <v>26</v>
      </c>
      <c r="N47">
        <v>45</v>
      </c>
      <c r="O47">
        <v>58</v>
      </c>
      <c r="P47">
        <v>65.7</v>
      </c>
      <c r="Q47">
        <v>3.4</v>
      </c>
      <c r="R47">
        <v>30.0687</v>
      </c>
      <c r="S47">
        <v>-89.928799999999995</v>
      </c>
    </row>
    <row r="48" spans="1:19" x14ac:dyDescent="0.15">
      <c r="A48">
        <v>46</v>
      </c>
      <c r="B48" t="s">
        <v>95</v>
      </c>
      <c r="C48" t="s">
        <v>96</v>
      </c>
      <c r="D48" t="s">
        <v>23</v>
      </c>
      <c r="E48" t="s">
        <v>20</v>
      </c>
      <c r="F48">
        <v>1257936</v>
      </c>
      <c r="G48">
        <v>1740</v>
      </c>
      <c r="H48">
        <v>1345</v>
      </c>
      <c r="I48">
        <v>0.02</v>
      </c>
      <c r="J48">
        <v>61551</v>
      </c>
      <c r="K48">
        <v>105.9</v>
      </c>
      <c r="L48">
        <v>96.23</v>
      </c>
      <c r="M48">
        <v>22.5</v>
      </c>
      <c r="N48">
        <v>51</v>
      </c>
      <c r="Q48">
        <v>6.6</v>
      </c>
      <c r="R48">
        <v>40.7776</v>
      </c>
      <c r="S48">
        <v>-111.9311</v>
      </c>
    </row>
    <row r="49" spans="1:19" x14ac:dyDescent="0.15">
      <c r="A49">
        <v>47</v>
      </c>
      <c r="B49" t="s">
        <v>97</v>
      </c>
      <c r="C49" t="s">
        <v>98</v>
      </c>
      <c r="D49" t="s">
        <v>19</v>
      </c>
      <c r="E49" t="s">
        <v>20</v>
      </c>
      <c r="F49">
        <v>1213531</v>
      </c>
      <c r="G49">
        <v>1396</v>
      </c>
      <c r="H49">
        <v>1287</v>
      </c>
      <c r="I49">
        <v>0</v>
      </c>
      <c r="J49">
        <v>69951</v>
      </c>
      <c r="K49">
        <v>104.8</v>
      </c>
      <c r="L49">
        <v>101.71</v>
      </c>
      <c r="M49">
        <v>24.5</v>
      </c>
      <c r="N49">
        <v>42</v>
      </c>
      <c r="Q49">
        <v>3.9</v>
      </c>
      <c r="R49">
        <v>41.766100000000002</v>
      </c>
      <c r="S49">
        <v>-72.683400000000006</v>
      </c>
    </row>
    <row r="50" spans="1:19" x14ac:dyDescent="0.15">
      <c r="A50">
        <v>48</v>
      </c>
      <c r="B50" t="s">
        <v>99</v>
      </c>
      <c r="C50" t="s">
        <v>18</v>
      </c>
      <c r="D50" t="s">
        <v>19</v>
      </c>
      <c r="E50" t="s">
        <v>20</v>
      </c>
      <c r="F50">
        <v>1166902</v>
      </c>
      <c r="G50">
        <v>1222</v>
      </c>
      <c r="H50">
        <v>971</v>
      </c>
      <c r="I50">
        <v>3.2000000000000001E-2</v>
      </c>
      <c r="J50">
        <v>56808</v>
      </c>
      <c r="K50">
        <v>97.3</v>
      </c>
      <c r="L50">
        <v>95.11</v>
      </c>
      <c r="M50">
        <v>21.7</v>
      </c>
      <c r="N50">
        <v>40</v>
      </c>
      <c r="O50">
        <v>66.599999999999994</v>
      </c>
      <c r="P50">
        <v>62.8</v>
      </c>
      <c r="Q50">
        <v>3.9</v>
      </c>
      <c r="R50">
        <v>42.901800000000001</v>
      </c>
      <c r="S50">
        <v>-78.848699999999994</v>
      </c>
    </row>
    <row r="51" spans="1:19" x14ac:dyDescent="0.15">
      <c r="A51">
        <v>49</v>
      </c>
      <c r="B51" t="s">
        <v>100</v>
      </c>
      <c r="C51" t="s">
        <v>101</v>
      </c>
      <c r="D51" t="s">
        <v>29</v>
      </c>
      <c r="E51" t="s">
        <v>20</v>
      </c>
      <c r="F51">
        <v>1115289</v>
      </c>
      <c r="G51">
        <v>1211</v>
      </c>
      <c r="H51">
        <v>1032</v>
      </c>
      <c r="I51">
        <v>0.02</v>
      </c>
      <c r="J51">
        <v>59107</v>
      </c>
      <c r="K51">
        <v>90.7</v>
      </c>
      <c r="L51">
        <v>90.86</v>
      </c>
      <c r="M51">
        <v>25.8</v>
      </c>
      <c r="N51">
        <v>51</v>
      </c>
      <c r="O51">
        <v>33.200000000000003</v>
      </c>
      <c r="P51">
        <v>30.7</v>
      </c>
      <c r="Q51">
        <v>0.1</v>
      </c>
      <c r="R51">
        <v>33.527900000000002</v>
      </c>
      <c r="S51">
        <v>-86.7971</v>
      </c>
    </row>
    <row r="52" spans="1:19" x14ac:dyDescent="0.15">
      <c r="A52">
        <v>50</v>
      </c>
      <c r="B52" t="s">
        <v>102</v>
      </c>
      <c r="C52" t="s">
        <v>18</v>
      </c>
      <c r="D52" t="s">
        <v>19</v>
      </c>
      <c r="E52" t="s">
        <v>20</v>
      </c>
      <c r="F52">
        <v>1090135</v>
      </c>
      <c r="G52">
        <v>1303</v>
      </c>
      <c r="H52">
        <v>1009</v>
      </c>
      <c r="I52">
        <v>2.8999999999999998E-2</v>
      </c>
      <c r="J52">
        <v>58500</v>
      </c>
      <c r="K52">
        <v>96.6</v>
      </c>
      <c r="L52">
        <v>97.69</v>
      </c>
      <c r="M52">
        <v>21.6</v>
      </c>
      <c r="N52">
        <v>39</v>
      </c>
      <c r="O52">
        <v>60.7</v>
      </c>
      <c r="P52">
        <v>59.9</v>
      </c>
      <c r="Q52">
        <v>2.5</v>
      </c>
      <c r="R52">
        <v>43.167999999999999</v>
      </c>
      <c r="S52">
        <v>-77.616200000000006</v>
      </c>
    </row>
    <row r="53" spans="1:19" x14ac:dyDescent="0.15">
      <c r="A53">
        <v>51</v>
      </c>
      <c r="B53" t="s">
        <v>103</v>
      </c>
      <c r="C53" t="s">
        <v>46</v>
      </c>
      <c r="D53" t="s">
        <v>26</v>
      </c>
      <c r="E53" t="s">
        <v>20</v>
      </c>
      <c r="F53">
        <v>1087592</v>
      </c>
      <c r="G53">
        <v>1694</v>
      </c>
      <c r="H53">
        <v>1070</v>
      </c>
      <c r="I53">
        <v>3.1E-2</v>
      </c>
      <c r="J53">
        <v>57667</v>
      </c>
      <c r="K53">
        <v>93.7</v>
      </c>
      <c r="L53">
        <v>96.69</v>
      </c>
      <c r="M53">
        <v>21.2</v>
      </c>
      <c r="N53">
        <v>42</v>
      </c>
      <c r="Q53">
        <v>2.6</v>
      </c>
      <c r="R53">
        <v>42.9619</v>
      </c>
      <c r="S53">
        <v>-85.656199999999998</v>
      </c>
    </row>
    <row r="54" spans="1:19" x14ac:dyDescent="0.15">
      <c r="A54">
        <v>52</v>
      </c>
      <c r="B54" t="s">
        <v>104</v>
      </c>
      <c r="C54" t="s">
        <v>42</v>
      </c>
      <c r="D54" t="s">
        <v>23</v>
      </c>
      <c r="E54" t="s">
        <v>20</v>
      </c>
      <c r="F54">
        <v>1043433</v>
      </c>
      <c r="G54">
        <v>1523</v>
      </c>
      <c r="H54">
        <v>951</v>
      </c>
      <c r="I54">
        <v>3.1E-2</v>
      </c>
      <c r="J54">
        <v>52942</v>
      </c>
      <c r="K54">
        <v>97.7</v>
      </c>
      <c r="L54">
        <v>92.92</v>
      </c>
      <c r="M54">
        <v>24.4</v>
      </c>
      <c r="N54">
        <v>48</v>
      </c>
      <c r="O54">
        <v>43.2</v>
      </c>
      <c r="P54">
        <v>66.3</v>
      </c>
      <c r="Q54">
        <v>3.7</v>
      </c>
      <c r="R54">
        <v>32.1541</v>
      </c>
      <c r="S54">
        <v>-110.87869999999999</v>
      </c>
    </row>
    <row r="55" spans="1:19" x14ac:dyDescent="0.15">
      <c r="A55">
        <v>53</v>
      </c>
      <c r="B55" t="s">
        <v>105</v>
      </c>
      <c r="C55" t="s">
        <v>106</v>
      </c>
      <c r="D55" t="s">
        <v>23</v>
      </c>
      <c r="E55" t="s">
        <v>20</v>
      </c>
      <c r="F55">
        <v>1016508</v>
      </c>
      <c r="G55">
        <v>2428</v>
      </c>
      <c r="H55">
        <v>1892</v>
      </c>
      <c r="I55">
        <v>3.4000000000000002E-2</v>
      </c>
      <c r="J55">
        <v>63912</v>
      </c>
      <c r="L55">
        <v>114.74</v>
      </c>
      <c r="M55">
        <v>29</v>
      </c>
      <c r="N55">
        <v>29</v>
      </c>
      <c r="O55">
        <v>65.7</v>
      </c>
      <c r="P55">
        <v>51</v>
      </c>
      <c r="Q55">
        <v>6.4</v>
      </c>
      <c r="R55">
        <v>21.3294</v>
      </c>
      <c r="S55">
        <v>-157.846</v>
      </c>
    </row>
    <row r="56" spans="1:19" x14ac:dyDescent="0.15">
      <c r="A56">
        <v>54</v>
      </c>
      <c r="B56" t="s">
        <v>107</v>
      </c>
      <c r="C56" t="s">
        <v>87</v>
      </c>
      <c r="D56" t="s">
        <v>29</v>
      </c>
      <c r="E56" t="s">
        <v>20</v>
      </c>
      <c r="F56">
        <v>1015331</v>
      </c>
      <c r="G56">
        <v>1166</v>
      </c>
      <c r="H56">
        <v>830</v>
      </c>
      <c r="I56">
        <v>2.7000000000000003E-2</v>
      </c>
      <c r="J56">
        <v>59941</v>
      </c>
      <c r="K56">
        <v>86.7</v>
      </c>
      <c r="L56">
        <v>92.02</v>
      </c>
      <c r="M56">
        <v>21.8</v>
      </c>
      <c r="N56">
        <v>48</v>
      </c>
      <c r="O56">
        <v>39</v>
      </c>
      <c r="P56">
        <v>47.2</v>
      </c>
      <c r="Q56">
        <v>1.7</v>
      </c>
      <c r="R56">
        <v>36.128300000000003</v>
      </c>
      <c r="S56">
        <v>-95.904200000000003</v>
      </c>
    </row>
    <row r="57" spans="1:19" x14ac:dyDescent="0.15">
      <c r="A57">
        <v>55</v>
      </c>
      <c r="B57" t="s">
        <v>108</v>
      </c>
      <c r="C57" t="s">
        <v>22</v>
      </c>
      <c r="D57" t="s">
        <v>23</v>
      </c>
      <c r="E57" t="s">
        <v>20</v>
      </c>
      <c r="F57">
        <v>1008654</v>
      </c>
      <c r="G57">
        <v>1747</v>
      </c>
      <c r="H57">
        <v>1060</v>
      </c>
      <c r="I57">
        <v>6.2E-2</v>
      </c>
      <c r="J57">
        <v>51422</v>
      </c>
      <c r="K57">
        <v>105.9</v>
      </c>
      <c r="L57">
        <v>101.56</v>
      </c>
      <c r="M57">
        <v>22.8</v>
      </c>
      <c r="N57">
        <v>64</v>
      </c>
      <c r="O57">
        <v>46.6</v>
      </c>
      <c r="P57">
        <v>58.1</v>
      </c>
      <c r="Q57">
        <v>3.2</v>
      </c>
      <c r="R57">
        <v>36.783000000000001</v>
      </c>
      <c r="S57">
        <v>-119.79389999999999</v>
      </c>
    </row>
    <row r="58" spans="1:19" x14ac:dyDescent="0.15">
      <c r="A58">
        <v>56</v>
      </c>
      <c r="B58" t="s">
        <v>109</v>
      </c>
      <c r="C58" t="s">
        <v>40</v>
      </c>
      <c r="D58" t="s">
        <v>19</v>
      </c>
      <c r="E58" t="s">
        <v>110</v>
      </c>
      <c r="F58">
        <v>978529</v>
      </c>
      <c r="G58">
        <v>1813</v>
      </c>
      <c r="H58">
        <v>1361</v>
      </c>
      <c r="I58">
        <v>3.3000000000000002E-2</v>
      </c>
      <c r="J58">
        <v>64540</v>
      </c>
      <c r="K58">
        <v>113.2</v>
      </c>
      <c r="L58">
        <v>100</v>
      </c>
      <c r="M58">
        <v>28.8</v>
      </c>
      <c r="N58">
        <v>42</v>
      </c>
      <c r="Q58">
        <v>2.1</v>
      </c>
      <c r="R58">
        <v>42.270499999999998</v>
      </c>
      <c r="S58">
        <v>-71.807900000000004</v>
      </c>
    </row>
    <row r="59" spans="1:19" x14ac:dyDescent="0.15">
      <c r="A59">
        <v>57</v>
      </c>
      <c r="B59" t="s">
        <v>111</v>
      </c>
      <c r="C59" t="s">
        <v>112</v>
      </c>
      <c r="D59" t="s">
        <v>26</v>
      </c>
      <c r="E59" t="s">
        <v>110</v>
      </c>
      <c r="F59">
        <v>967604</v>
      </c>
      <c r="G59">
        <v>1225</v>
      </c>
      <c r="H59">
        <v>940</v>
      </c>
      <c r="I59">
        <v>2.5000000000000001E-2</v>
      </c>
      <c r="J59">
        <v>64229</v>
      </c>
      <c r="K59">
        <v>92.9</v>
      </c>
      <c r="L59">
        <v>93.64</v>
      </c>
      <c r="M59">
        <v>20.5</v>
      </c>
      <c r="N59">
        <v>44</v>
      </c>
      <c r="O59">
        <v>48.2</v>
      </c>
      <c r="P59">
        <v>41.7</v>
      </c>
      <c r="Q59">
        <v>2.7</v>
      </c>
      <c r="R59">
        <v>41.262700000000002</v>
      </c>
      <c r="S59">
        <v>-96.052899999999994</v>
      </c>
    </row>
    <row r="60" spans="1:19" x14ac:dyDescent="0.15">
      <c r="A60">
        <v>58</v>
      </c>
      <c r="B60" t="s">
        <v>113</v>
      </c>
      <c r="C60" t="s">
        <v>98</v>
      </c>
      <c r="D60" t="s">
        <v>19</v>
      </c>
      <c r="E60" t="s">
        <v>110</v>
      </c>
      <c r="F60">
        <v>957419</v>
      </c>
      <c r="G60">
        <v>1662</v>
      </c>
      <c r="H60">
        <v>1434</v>
      </c>
      <c r="I60">
        <v>0</v>
      </c>
      <c r="J60">
        <v>127391</v>
      </c>
      <c r="L60">
        <v>105.8</v>
      </c>
      <c r="M60">
        <v>30.2</v>
      </c>
      <c r="N60">
        <v>44</v>
      </c>
      <c r="Q60">
        <v>4.5</v>
      </c>
      <c r="R60">
        <v>41.191800000000001</v>
      </c>
      <c r="S60">
        <v>-73.195400000000006</v>
      </c>
    </row>
    <row r="61" spans="1:19" x14ac:dyDescent="0.15">
      <c r="A61">
        <v>59</v>
      </c>
      <c r="B61" t="s">
        <v>114</v>
      </c>
      <c r="C61" t="s">
        <v>115</v>
      </c>
      <c r="D61" t="s">
        <v>29</v>
      </c>
      <c r="E61" t="s">
        <v>110</v>
      </c>
      <c r="F61">
        <v>928195</v>
      </c>
      <c r="G61">
        <v>1545</v>
      </c>
      <c r="H61">
        <v>1007</v>
      </c>
      <c r="I61">
        <v>2.6000000000000002E-2</v>
      </c>
      <c r="J61">
        <v>50908</v>
      </c>
      <c r="K61">
        <v>95</v>
      </c>
      <c r="L61">
        <v>93.51</v>
      </c>
      <c r="M61">
        <v>23.7</v>
      </c>
      <c r="N61">
        <v>44</v>
      </c>
      <c r="Q61">
        <v>0.9</v>
      </c>
      <c r="R61">
        <v>34.8354</v>
      </c>
      <c r="S61">
        <v>-82.364599999999996</v>
      </c>
    </row>
    <row r="62" spans="1:19" x14ac:dyDescent="0.15">
      <c r="A62">
        <v>60</v>
      </c>
      <c r="B62" t="s">
        <v>116</v>
      </c>
      <c r="C62" t="s">
        <v>117</v>
      </c>
      <c r="D62" t="s">
        <v>23</v>
      </c>
      <c r="E62" t="s">
        <v>110</v>
      </c>
      <c r="F62">
        <v>916528</v>
      </c>
      <c r="G62">
        <v>1503</v>
      </c>
      <c r="H62">
        <v>1012</v>
      </c>
      <c r="I62">
        <v>3.1E-2</v>
      </c>
      <c r="J62">
        <v>52263</v>
      </c>
      <c r="K62">
        <v>92.9</v>
      </c>
      <c r="L62">
        <v>92.26</v>
      </c>
      <c r="M62">
        <v>23.7</v>
      </c>
      <c r="N62">
        <v>54</v>
      </c>
      <c r="O62">
        <v>42.6</v>
      </c>
      <c r="P62">
        <v>60.9</v>
      </c>
      <c r="Q62">
        <v>3.6</v>
      </c>
      <c r="R62">
        <v>35.105400000000003</v>
      </c>
      <c r="S62">
        <v>-106.6465</v>
      </c>
    </row>
    <row r="63" spans="1:19" x14ac:dyDescent="0.15">
      <c r="A63">
        <v>61</v>
      </c>
      <c r="B63" t="s">
        <v>118</v>
      </c>
      <c r="C63" t="s">
        <v>22</v>
      </c>
      <c r="D63" t="s">
        <v>23</v>
      </c>
      <c r="E63" t="s">
        <v>110</v>
      </c>
      <c r="F63">
        <v>909235</v>
      </c>
      <c r="G63">
        <v>1836</v>
      </c>
      <c r="H63">
        <v>927</v>
      </c>
      <c r="I63">
        <v>6.7000000000000004E-2</v>
      </c>
      <c r="J63">
        <v>45961</v>
      </c>
      <c r="K63">
        <v>102.9</v>
      </c>
      <c r="L63">
        <v>100.94</v>
      </c>
      <c r="M63">
        <v>22.6</v>
      </c>
      <c r="N63">
        <v>57</v>
      </c>
      <c r="O63">
        <v>37.299999999999997</v>
      </c>
      <c r="P63">
        <v>43.7</v>
      </c>
      <c r="Q63">
        <v>3.1</v>
      </c>
      <c r="R63">
        <v>35.352899999999998</v>
      </c>
      <c r="S63">
        <v>-119.0359</v>
      </c>
    </row>
    <row r="64" spans="1:19" x14ac:dyDescent="0.15">
      <c r="A64">
        <v>62</v>
      </c>
      <c r="B64" t="s">
        <v>119</v>
      </c>
      <c r="C64" t="s">
        <v>18</v>
      </c>
      <c r="D64" t="s">
        <v>19</v>
      </c>
      <c r="E64" t="s">
        <v>110</v>
      </c>
      <c r="F64">
        <v>899262</v>
      </c>
      <c r="G64">
        <v>1475</v>
      </c>
      <c r="H64">
        <v>1166</v>
      </c>
      <c r="I64">
        <v>2.5000000000000001E-2</v>
      </c>
      <c r="J64">
        <v>67788</v>
      </c>
      <c r="K64">
        <v>100.1</v>
      </c>
      <c r="L64">
        <v>99.16</v>
      </c>
      <c r="M64">
        <v>23.4</v>
      </c>
      <c r="N64">
        <v>39</v>
      </c>
      <c r="Q64">
        <v>3.6</v>
      </c>
      <c r="R64">
        <v>42.666400000000003</v>
      </c>
      <c r="S64">
        <v>-73.798699999999997</v>
      </c>
    </row>
    <row r="65" spans="1:19" x14ac:dyDescent="0.15">
      <c r="A65">
        <v>63</v>
      </c>
      <c r="B65" t="s">
        <v>120</v>
      </c>
      <c r="C65" t="s">
        <v>78</v>
      </c>
      <c r="D65" t="s">
        <v>29</v>
      </c>
      <c r="E65" t="s">
        <v>110</v>
      </c>
      <c r="F65">
        <v>879773</v>
      </c>
      <c r="G65">
        <v>1691</v>
      </c>
      <c r="H65">
        <v>1024</v>
      </c>
      <c r="I65">
        <v>2.6000000000000002E-2</v>
      </c>
      <c r="J65">
        <v>55752</v>
      </c>
      <c r="K65">
        <v>91.6</v>
      </c>
      <c r="L65">
        <v>90.37</v>
      </c>
      <c r="M65">
        <v>23.7</v>
      </c>
      <c r="N65">
        <v>45</v>
      </c>
      <c r="Q65">
        <v>1.1000000000000001</v>
      </c>
      <c r="R65">
        <v>35.969200000000001</v>
      </c>
      <c r="S65">
        <v>-83.949600000000004</v>
      </c>
    </row>
    <row r="66" spans="1:19" x14ac:dyDescent="0.15">
      <c r="A66">
        <v>64</v>
      </c>
      <c r="B66" t="s">
        <v>121</v>
      </c>
      <c r="C66" t="s">
        <v>28</v>
      </c>
      <c r="D66" t="s">
        <v>29</v>
      </c>
      <c r="E66" t="s">
        <v>110</v>
      </c>
      <c r="F66">
        <v>870781</v>
      </c>
      <c r="G66">
        <v>1393</v>
      </c>
      <c r="H66">
        <v>742</v>
      </c>
      <c r="I66">
        <v>6.8000000000000005E-2</v>
      </c>
      <c r="J66">
        <v>34503</v>
      </c>
      <c r="K66">
        <v>86</v>
      </c>
      <c r="L66">
        <v>87.76</v>
      </c>
      <c r="M66">
        <v>21.6</v>
      </c>
      <c r="N66">
        <v>45</v>
      </c>
      <c r="Q66">
        <v>1.1000000000000001</v>
      </c>
      <c r="R66">
        <v>26.225200000000001</v>
      </c>
      <c r="S66">
        <v>-98.246700000000004</v>
      </c>
    </row>
    <row r="67" spans="1:19" x14ac:dyDescent="0.15">
      <c r="A67">
        <v>65</v>
      </c>
      <c r="B67" t="s">
        <v>122</v>
      </c>
      <c r="C67" t="s">
        <v>94</v>
      </c>
      <c r="D67" t="s">
        <v>29</v>
      </c>
      <c r="E67" t="s">
        <v>110</v>
      </c>
      <c r="F67">
        <v>870569</v>
      </c>
      <c r="G67">
        <v>1299</v>
      </c>
      <c r="H67">
        <v>939</v>
      </c>
      <c r="I67">
        <v>0.03</v>
      </c>
      <c r="J67">
        <v>56396</v>
      </c>
      <c r="K67">
        <v>91.1</v>
      </c>
      <c r="L67">
        <v>93.19</v>
      </c>
      <c r="M67">
        <v>25.6</v>
      </c>
      <c r="N67">
        <v>46</v>
      </c>
      <c r="O67">
        <v>39.1</v>
      </c>
      <c r="P67">
        <v>44.3</v>
      </c>
      <c r="Q67">
        <v>1.8</v>
      </c>
      <c r="R67">
        <v>30.442</v>
      </c>
      <c r="S67">
        <v>-91.131100000000004</v>
      </c>
    </row>
    <row r="68" spans="1:19" x14ac:dyDescent="0.15">
      <c r="A68">
        <v>66</v>
      </c>
      <c r="B68" t="s">
        <v>123</v>
      </c>
      <c r="C68" t="s">
        <v>28</v>
      </c>
      <c r="D68" t="s">
        <v>29</v>
      </c>
      <c r="E68" t="s">
        <v>110</v>
      </c>
      <c r="F68">
        <v>868859</v>
      </c>
      <c r="G68">
        <v>1467</v>
      </c>
      <c r="H68">
        <v>884</v>
      </c>
      <c r="I68">
        <v>0.04</v>
      </c>
      <c r="J68">
        <v>44058</v>
      </c>
      <c r="K68">
        <v>88.6</v>
      </c>
      <c r="L68">
        <v>93.13</v>
      </c>
      <c r="M68">
        <v>23.7</v>
      </c>
      <c r="N68">
        <v>56</v>
      </c>
      <c r="O68">
        <v>40.4</v>
      </c>
      <c r="P68">
        <v>42</v>
      </c>
      <c r="Q68">
        <v>4.0999999999999996</v>
      </c>
      <c r="R68">
        <v>31.8476</v>
      </c>
      <c r="S68">
        <v>-106.43</v>
      </c>
    </row>
    <row r="69" spans="1:19" x14ac:dyDescent="0.15">
      <c r="A69">
        <v>67</v>
      </c>
      <c r="B69" t="s">
        <v>124</v>
      </c>
      <c r="C69" t="s">
        <v>98</v>
      </c>
      <c r="D69" t="s">
        <v>19</v>
      </c>
      <c r="E69" t="s">
        <v>110</v>
      </c>
      <c r="F69">
        <v>864835</v>
      </c>
      <c r="G69">
        <v>1809</v>
      </c>
      <c r="H69">
        <v>1439</v>
      </c>
      <c r="I69">
        <v>0</v>
      </c>
      <c r="J69">
        <v>64643</v>
      </c>
      <c r="K69">
        <v>107.7</v>
      </c>
      <c r="L69">
        <v>101.25</v>
      </c>
      <c r="M69">
        <v>24.8</v>
      </c>
      <c r="N69">
        <v>42</v>
      </c>
      <c r="Q69">
        <v>4.5999999999999996</v>
      </c>
      <c r="R69">
        <v>41.311300000000003</v>
      </c>
      <c r="S69">
        <v>-72.924599999999998</v>
      </c>
    </row>
    <row r="70" spans="1:19" x14ac:dyDescent="0.15">
      <c r="A70">
        <v>68</v>
      </c>
      <c r="B70" t="s">
        <v>125</v>
      </c>
      <c r="C70" t="s">
        <v>34</v>
      </c>
      <c r="D70" t="s">
        <v>19</v>
      </c>
      <c r="E70" t="s">
        <v>110</v>
      </c>
      <c r="F70">
        <v>861889</v>
      </c>
      <c r="G70">
        <v>1608</v>
      </c>
      <c r="H70">
        <v>1188</v>
      </c>
      <c r="I70">
        <v>3.3000000000000002E-2</v>
      </c>
      <c r="J70">
        <v>62618</v>
      </c>
      <c r="K70">
        <v>98.9</v>
      </c>
      <c r="L70">
        <v>98.31</v>
      </c>
      <c r="M70">
        <v>27.9</v>
      </c>
      <c r="N70">
        <v>39</v>
      </c>
      <c r="Q70">
        <v>2.8</v>
      </c>
      <c r="R70">
        <v>40.5961</v>
      </c>
      <c r="S70">
        <v>-75.4756</v>
      </c>
    </row>
    <row r="71" spans="1:19" x14ac:dyDescent="0.15">
      <c r="A71">
        <v>69</v>
      </c>
      <c r="B71" t="s">
        <v>126</v>
      </c>
      <c r="C71" t="s">
        <v>22</v>
      </c>
      <c r="D71" t="s">
        <v>23</v>
      </c>
      <c r="E71" t="s">
        <v>110</v>
      </c>
      <c r="F71">
        <v>843843</v>
      </c>
      <c r="G71">
        <v>2837</v>
      </c>
      <c r="H71">
        <v>2189</v>
      </c>
      <c r="I71">
        <v>3.2000000000000001E-2</v>
      </c>
      <c r="J71">
        <v>73375</v>
      </c>
      <c r="L71">
        <v>111.4</v>
      </c>
      <c r="M71">
        <v>25.7</v>
      </c>
      <c r="N71">
        <v>48</v>
      </c>
      <c r="Q71">
        <v>3.4</v>
      </c>
      <c r="R71">
        <v>34.196399999999997</v>
      </c>
      <c r="S71">
        <v>-119.1815</v>
      </c>
    </row>
    <row r="72" spans="1:19" x14ac:dyDescent="0.15">
      <c r="A72">
        <v>70</v>
      </c>
      <c r="B72" t="s">
        <v>127</v>
      </c>
      <c r="C72" t="s">
        <v>36</v>
      </c>
      <c r="D72" t="s">
        <v>29</v>
      </c>
      <c r="E72" t="s">
        <v>110</v>
      </c>
      <c r="F72">
        <v>833716</v>
      </c>
      <c r="G72">
        <v>2174</v>
      </c>
      <c r="H72">
        <v>1378</v>
      </c>
      <c r="I72">
        <v>2.2000000000000002E-2</v>
      </c>
      <c r="J72">
        <v>69376</v>
      </c>
      <c r="L72">
        <v>99.31</v>
      </c>
      <c r="M72">
        <v>25.9</v>
      </c>
      <c r="N72">
        <v>43</v>
      </c>
      <c r="Q72">
        <v>3</v>
      </c>
      <c r="R72">
        <v>27.057600000000001</v>
      </c>
      <c r="S72">
        <v>-82.197699999999998</v>
      </c>
    </row>
    <row r="73" spans="1:19" x14ac:dyDescent="0.15">
      <c r="A73">
        <v>71</v>
      </c>
      <c r="B73" t="s">
        <v>128</v>
      </c>
      <c r="C73" t="s">
        <v>115</v>
      </c>
      <c r="D73" t="s">
        <v>29</v>
      </c>
      <c r="E73" t="s">
        <v>110</v>
      </c>
      <c r="F73">
        <v>829470</v>
      </c>
      <c r="G73">
        <v>1393</v>
      </c>
      <c r="H73">
        <v>1077</v>
      </c>
      <c r="I73">
        <v>2.7999999999999997E-2</v>
      </c>
      <c r="J73">
        <v>53286</v>
      </c>
      <c r="K73">
        <v>91.9</v>
      </c>
      <c r="L73">
        <v>93.32</v>
      </c>
      <c r="M73">
        <v>24.3</v>
      </c>
      <c r="N73">
        <v>42</v>
      </c>
      <c r="Q73">
        <v>1.7</v>
      </c>
      <c r="R73">
        <v>34.037799999999997</v>
      </c>
      <c r="S73">
        <v>-80.903599999999997</v>
      </c>
    </row>
    <row r="74" spans="1:19" x14ac:dyDescent="0.15">
      <c r="A74">
        <v>72</v>
      </c>
      <c r="B74" t="s">
        <v>129</v>
      </c>
      <c r="C74" t="s">
        <v>70</v>
      </c>
      <c r="D74" t="s">
        <v>26</v>
      </c>
      <c r="E74" t="s">
        <v>110</v>
      </c>
      <c r="F74">
        <v>814049</v>
      </c>
      <c r="G74">
        <v>1047</v>
      </c>
      <c r="H74">
        <v>809</v>
      </c>
      <c r="I74">
        <v>3.5000000000000003E-2</v>
      </c>
      <c r="J74">
        <v>55572</v>
      </c>
      <c r="K74">
        <v>88.4</v>
      </c>
      <c r="L74">
        <v>92.54</v>
      </c>
      <c r="M74">
        <v>21.8</v>
      </c>
      <c r="N74">
        <v>44</v>
      </c>
      <c r="Q74">
        <v>3.1</v>
      </c>
      <c r="R74">
        <v>39.780500000000004</v>
      </c>
      <c r="S74">
        <v>-84.200299999999999</v>
      </c>
    </row>
    <row r="75" spans="1:19" x14ac:dyDescent="0.15">
      <c r="A75">
        <v>73</v>
      </c>
      <c r="B75" t="s">
        <v>130</v>
      </c>
      <c r="C75" t="s">
        <v>115</v>
      </c>
      <c r="D75" t="s">
        <v>29</v>
      </c>
      <c r="E75" t="s">
        <v>110</v>
      </c>
      <c r="F75">
        <v>799636</v>
      </c>
      <c r="G75">
        <v>2166</v>
      </c>
      <c r="H75">
        <v>1484</v>
      </c>
      <c r="I75">
        <v>2.5000000000000001E-2</v>
      </c>
      <c r="J75">
        <v>60754</v>
      </c>
      <c r="K75">
        <v>101.7</v>
      </c>
      <c r="L75">
        <v>99.15</v>
      </c>
      <c r="M75">
        <v>25.9</v>
      </c>
      <c r="N75">
        <v>40</v>
      </c>
      <c r="Q75">
        <v>1.5</v>
      </c>
      <c r="R75">
        <v>32.816800000000001</v>
      </c>
      <c r="S75">
        <v>-79.968699999999998</v>
      </c>
    </row>
    <row r="76" spans="1:19" x14ac:dyDescent="0.15">
      <c r="A76">
        <v>74</v>
      </c>
      <c r="B76" t="s">
        <v>131</v>
      </c>
      <c r="C76" t="s">
        <v>22</v>
      </c>
      <c r="D76" t="s">
        <v>23</v>
      </c>
      <c r="E76" t="s">
        <v>110</v>
      </c>
      <c r="F76">
        <v>779233</v>
      </c>
      <c r="G76">
        <v>1915</v>
      </c>
      <c r="H76">
        <v>1257</v>
      </c>
      <c r="I76">
        <v>5.2000000000000005E-2</v>
      </c>
      <c r="J76">
        <v>57783</v>
      </c>
      <c r="K76">
        <v>113.6</v>
      </c>
      <c r="L76">
        <v>104.61</v>
      </c>
      <c r="M76">
        <v>33.299999999999997</v>
      </c>
      <c r="N76">
        <v>43</v>
      </c>
      <c r="O76">
        <v>43.7</v>
      </c>
      <c r="P76">
        <v>52.4</v>
      </c>
      <c r="Q76">
        <v>3</v>
      </c>
      <c r="R76">
        <v>37.976500000000001</v>
      </c>
      <c r="S76">
        <v>-121.3109</v>
      </c>
    </row>
    <row r="77" spans="1:19" x14ac:dyDescent="0.15">
      <c r="A77">
        <v>75</v>
      </c>
      <c r="B77" t="s">
        <v>132</v>
      </c>
      <c r="C77" t="s">
        <v>60</v>
      </c>
      <c r="D77" t="s">
        <v>29</v>
      </c>
      <c r="E77" t="s">
        <v>110</v>
      </c>
      <c r="F77">
        <v>776566</v>
      </c>
      <c r="G77">
        <v>1421</v>
      </c>
      <c r="H77">
        <v>981</v>
      </c>
      <c r="I77">
        <v>3.6000000000000004E-2</v>
      </c>
      <c r="J77">
        <v>51872</v>
      </c>
      <c r="K77">
        <v>91</v>
      </c>
      <c r="L77">
        <v>92.82</v>
      </c>
      <c r="M77">
        <v>22.1</v>
      </c>
      <c r="N77">
        <v>43</v>
      </c>
      <c r="O77">
        <v>29.4</v>
      </c>
      <c r="P77">
        <v>32.200000000000003</v>
      </c>
      <c r="Q77">
        <v>1.8</v>
      </c>
      <c r="R77">
        <v>36.095599999999997</v>
      </c>
      <c r="S77">
        <v>-79.827100000000002</v>
      </c>
    </row>
    <row r="78" spans="1:19" x14ac:dyDescent="0.15">
      <c r="A78">
        <v>76</v>
      </c>
      <c r="B78" t="s">
        <v>133</v>
      </c>
      <c r="C78" t="s">
        <v>36</v>
      </c>
      <c r="D78" t="s">
        <v>29</v>
      </c>
      <c r="E78" t="s">
        <v>110</v>
      </c>
      <c r="F78">
        <v>760822</v>
      </c>
      <c r="G78">
        <v>2356</v>
      </c>
      <c r="H78">
        <v>1240</v>
      </c>
      <c r="I78">
        <v>2.8999999999999998E-2</v>
      </c>
      <c r="J78">
        <v>62885</v>
      </c>
      <c r="L78">
        <v>99.97</v>
      </c>
      <c r="M78">
        <v>27.1</v>
      </c>
      <c r="N78">
        <v>41</v>
      </c>
      <c r="Q78">
        <v>2.2999999999999998</v>
      </c>
      <c r="R78">
        <v>26.644300000000001</v>
      </c>
      <c r="S78">
        <v>-81.995699999999999</v>
      </c>
    </row>
    <row r="79" spans="1:19" x14ac:dyDescent="0.15">
      <c r="A79">
        <v>77</v>
      </c>
      <c r="B79" t="s">
        <v>134</v>
      </c>
      <c r="C79" t="s">
        <v>53</v>
      </c>
      <c r="D79" t="s">
        <v>23</v>
      </c>
      <c r="E79" t="s">
        <v>110</v>
      </c>
      <c r="F79">
        <v>755105</v>
      </c>
      <c r="G79">
        <v>1784</v>
      </c>
      <c r="H79">
        <v>1270</v>
      </c>
      <c r="I79">
        <v>0.03</v>
      </c>
      <c r="J79">
        <v>58736</v>
      </c>
      <c r="K79">
        <v>102.2</v>
      </c>
      <c r="L79">
        <v>96.84</v>
      </c>
      <c r="M79">
        <v>22.8</v>
      </c>
      <c r="N79">
        <v>48</v>
      </c>
      <c r="O79">
        <v>36.1</v>
      </c>
      <c r="P79">
        <v>44.7</v>
      </c>
      <c r="Q79">
        <v>2.2999999999999998</v>
      </c>
      <c r="R79">
        <v>38.867400000000004</v>
      </c>
      <c r="S79">
        <v>-104.76049999999999</v>
      </c>
    </row>
    <row r="80" spans="1:19" x14ac:dyDescent="0.15">
      <c r="A80">
        <v>78</v>
      </c>
      <c r="B80" t="s">
        <v>135</v>
      </c>
      <c r="C80" t="s">
        <v>136</v>
      </c>
      <c r="D80" t="s">
        <v>29</v>
      </c>
      <c r="E80" t="s">
        <v>110</v>
      </c>
      <c r="F80">
        <v>748031</v>
      </c>
      <c r="G80">
        <v>1108</v>
      </c>
      <c r="H80">
        <v>859</v>
      </c>
      <c r="I80">
        <v>2.7999999999999997E-2</v>
      </c>
      <c r="J80">
        <v>53158</v>
      </c>
      <c r="K80">
        <v>88</v>
      </c>
      <c r="L80">
        <v>91.97</v>
      </c>
      <c r="M80">
        <v>22.5</v>
      </c>
      <c r="N80">
        <v>43</v>
      </c>
      <c r="Q80">
        <v>1.3</v>
      </c>
      <c r="R80">
        <v>34.7256</v>
      </c>
      <c r="S80">
        <v>-92.357699999999994</v>
      </c>
    </row>
    <row r="81" spans="1:19" x14ac:dyDescent="0.15">
      <c r="A81">
        <v>79</v>
      </c>
      <c r="B81" t="s">
        <v>137</v>
      </c>
      <c r="C81" t="s">
        <v>36</v>
      </c>
      <c r="D81" t="s">
        <v>29</v>
      </c>
      <c r="E81" t="s">
        <v>110</v>
      </c>
      <c r="F81">
        <v>725046</v>
      </c>
      <c r="G81">
        <v>1674</v>
      </c>
      <c r="H81">
        <v>1010</v>
      </c>
      <c r="I81">
        <v>2.7000000000000003E-2</v>
      </c>
      <c r="J81">
        <v>43556</v>
      </c>
      <c r="K81">
        <v>96.4</v>
      </c>
      <c r="L81">
        <v>96.17</v>
      </c>
      <c r="M81">
        <v>25.7</v>
      </c>
      <c r="N81">
        <v>41</v>
      </c>
      <c r="Q81">
        <v>1.6</v>
      </c>
      <c r="R81">
        <v>28.055700000000002</v>
      </c>
      <c r="S81">
        <v>-81.954499999999996</v>
      </c>
    </row>
    <row r="82" spans="1:19" x14ac:dyDescent="0.15">
      <c r="A82">
        <v>80</v>
      </c>
      <c r="B82" t="s">
        <v>138</v>
      </c>
      <c r="C82" t="s">
        <v>139</v>
      </c>
      <c r="D82" t="s">
        <v>26</v>
      </c>
      <c r="E82" t="s">
        <v>110</v>
      </c>
      <c r="F82">
        <v>709466</v>
      </c>
      <c r="G82">
        <v>1091</v>
      </c>
      <c r="H82">
        <v>949</v>
      </c>
      <c r="I82">
        <v>2.7999999999999997E-2</v>
      </c>
      <c r="J82">
        <v>61833</v>
      </c>
      <c r="K82">
        <v>91.7</v>
      </c>
      <c r="L82">
        <v>93.32</v>
      </c>
      <c r="M82">
        <v>20</v>
      </c>
      <c r="N82">
        <v>39</v>
      </c>
      <c r="O82">
        <v>45</v>
      </c>
      <c r="P82">
        <v>39.4</v>
      </c>
      <c r="Q82">
        <v>2.6</v>
      </c>
      <c r="R82">
        <v>41.572499999999998</v>
      </c>
      <c r="S82">
        <v>-93.610500000000002</v>
      </c>
    </row>
    <row r="83" spans="1:19" x14ac:dyDescent="0.15">
      <c r="A83">
        <v>81</v>
      </c>
      <c r="B83" t="s">
        <v>140</v>
      </c>
      <c r="C83" t="s">
        <v>70</v>
      </c>
      <c r="D83" t="s">
        <v>26</v>
      </c>
      <c r="E83" t="s">
        <v>110</v>
      </c>
      <c r="F83">
        <v>702219</v>
      </c>
      <c r="G83">
        <v>977</v>
      </c>
      <c r="H83">
        <v>867</v>
      </c>
      <c r="I83">
        <v>3.9E-2</v>
      </c>
      <c r="J83">
        <v>58735</v>
      </c>
      <c r="K83">
        <v>89.4</v>
      </c>
      <c r="L83">
        <v>93.73</v>
      </c>
      <c r="M83">
        <v>22.9</v>
      </c>
      <c r="N83">
        <v>43</v>
      </c>
      <c r="Q83">
        <v>3</v>
      </c>
      <c r="R83">
        <v>41.079799999999999</v>
      </c>
      <c r="S83">
        <v>-81.521900000000002</v>
      </c>
    </row>
    <row r="84" spans="1:19" x14ac:dyDescent="0.15">
      <c r="A84">
        <v>82</v>
      </c>
      <c r="B84" t="s">
        <v>141</v>
      </c>
      <c r="C84" t="s">
        <v>40</v>
      </c>
      <c r="D84" t="s">
        <v>19</v>
      </c>
      <c r="E84" t="s">
        <v>110</v>
      </c>
      <c r="F84">
        <v>699162</v>
      </c>
      <c r="G84">
        <v>1488</v>
      </c>
      <c r="H84">
        <v>1059</v>
      </c>
      <c r="I84">
        <v>3.7000000000000005E-2</v>
      </c>
      <c r="J84">
        <v>61523</v>
      </c>
      <c r="K84">
        <v>106.5</v>
      </c>
      <c r="L84">
        <v>97.79</v>
      </c>
      <c r="M84">
        <v>22.9</v>
      </c>
      <c r="N84">
        <v>41</v>
      </c>
      <c r="Q84">
        <v>4</v>
      </c>
      <c r="R84">
        <v>42.115499999999997</v>
      </c>
      <c r="S84">
        <v>-72.539500000000004</v>
      </c>
    </row>
    <row r="85" spans="1:19" x14ac:dyDescent="0.15">
      <c r="A85">
        <v>83</v>
      </c>
      <c r="B85" t="s">
        <v>142</v>
      </c>
      <c r="C85" t="s">
        <v>96</v>
      </c>
      <c r="D85" t="s">
        <v>23</v>
      </c>
      <c r="E85" t="s">
        <v>110</v>
      </c>
      <c r="F85">
        <v>694863</v>
      </c>
      <c r="G85">
        <v>1313</v>
      </c>
      <c r="H85">
        <v>1107</v>
      </c>
      <c r="I85">
        <v>0.02</v>
      </c>
      <c r="J85">
        <v>52305</v>
      </c>
      <c r="K85">
        <v>99.8</v>
      </c>
      <c r="L85">
        <v>93.64</v>
      </c>
      <c r="M85">
        <v>22.7</v>
      </c>
      <c r="N85">
        <v>49</v>
      </c>
      <c r="Q85">
        <v>4.7</v>
      </c>
      <c r="R85">
        <v>41.227899999999998</v>
      </c>
      <c r="S85">
        <v>-111.9682</v>
      </c>
    </row>
    <row r="86" spans="1:19" x14ac:dyDescent="0.15">
      <c r="A86">
        <v>84</v>
      </c>
      <c r="B86" t="s">
        <v>143</v>
      </c>
      <c r="C86" t="s">
        <v>85</v>
      </c>
      <c r="D86" t="s">
        <v>26</v>
      </c>
      <c r="E86" t="s">
        <v>110</v>
      </c>
      <c r="F86">
        <v>680796</v>
      </c>
      <c r="G86">
        <v>1445</v>
      </c>
      <c r="H86">
        <v>1265</v>
      </c>
      <c r="I86">
        <v>1.6E-2</v>
      </c>
      <c r="J86">
        <v>69116</v>
      </c>
      <c r="K86">
        <v>99.5</v>
      </c>
      <c r="L86">
        <v>96.73</v>
      </c>
      <c r="M86">
        <v>21.4</v>
      </c>
      <c r="N86">
        <v>39</v>
      </c>
      <c r="O86">
        <v>49.7</v>
      </c>
      <c r="P86">
        <v>65.5</v>
      </c>
      <c r="Q86">
        <v>3</v>
      </c>
      <c r="R86">
        <v>43.0822</v>
      </c>
      <c r="S86">
        <v>-89.393000000000001</v>
      </c>
    </row>
    <row r="87" spans="1:19" x14ac:dyDescent="0.15">
      <c r="A87">
        <v>85</v>
      </c>
      <c r="B87" t="s">
        <v>144</v>
      </c>
      <c r="C87" t="s">
        <v>96</v>
      </c>
      <c r="D87" t="s">
        <v>23</v>
      </c>
      <c r="E87" t="s">
        <v>110</v>
      </c>
      <c r="F87">
        <v>671185</v>
      </c>
      <c r="G87">
        <v>1376</v>
      </c>
      <c r="H87">
        <v>1070</v>
      </c>
      <c r="I87">
        <v>1.9E-2</v>
      </c>
      <c r="J87">
        <v>50616</v>
      </c>
      <c r="K87">
        <v>100.9</v>
      </c>
      <c r="L87">
        <v>95.84</v>
      </c>
      <c r="M87">
        <v>21.2</v>
      </c>
      <c r="N87">
        <v>47</v>
      </c>
      <c r="Q87">
        <v>3.6</v>
      </c>
      <c r="R87">
        <v>40.245699999999999</v>
      </c>
      <c r="S87">
        <v>-111.64570000000001</v>
      </c>
    </row>
    <row r="88" spans="1:19" x14ac:dyDescent="0.15">
      <c r="A88">
        <v>86</v>
      </c>
      <c r="B88" t="s">
        <v>145</v>
      </c>
      <c r="C88" t="s">
        <v>36</v>
      </c>
      <c r="D88" t="s">
        <v>29</v>
      </c>
      <c r="E88" t="s">
        <v>110</v>
      </c>
      <c r="F88">
        <v>668921</v>
      </c>
      <c r="G88">
        <v>1863</v>
      </c>
      <c r="H88">
        <v>1141</v>
      </c>
      <c r="I88">
        <v>2.5000000000000001E-2</v>
      </c>
      <c r="J88">
        <v>53559</v>
      </c>
      <c r="L88">
        <v>97.84</v>
      </c>
      <c r="M88">
        <v>26.6</v>
      </c>
      <c r="N88">
        <v>43</v>
      </c>
      <c r="Q88">
        <v>2.4</v>
      </c>
      <c r="R88">
        <v>28.905000000000001</v>
      </c>
      <c r="S88">
        <v>-81.213700000000003</v>
      </c>
    </row>
    <row r="89" spans="1:19" x14ac:dyDescent="0.15">
      <c r="A89">
        <v>87</v>
      </c>
      <c r="B89" t="s">
        <v>146</v>
      </c>
      <c r="C89" t="s">
        <v>18</v>
      </c>
      <c r="D89" t="s">
        <v>19</v>
      </c>
      <c r="E89" t="s">
        <v>110</v>
      </c>
      <c r="F89">
        <v>662057</v>
      </c>
      <c r="G89">
        <v>1350</v>
      </c>
      <c r="H89">
        <v>953</v>
      </c>
      <c r="I89">
        <v>0.03</v>
      </c>
      <c r="J89">
        <v>58137</v>
      </c>
      <c r="K89">
        <v>95.1</v>
      </c>
      <c r="L89">
        <v>96.49</v>
      </c>
      <c r="M89">
        <v>21.3</v>
      </c>
      <c r="N89">
        <v>37</v>
      </c>
      <c r="Q89">
        <v>2.5</v>
      </c>
      <c r="R89">
        <v>43.040700000000001</v>
      </c>
      <c r="S89">
        <v>-76.143699999999995</v>
      </c>
    </row>
    <row r="90" spans="1:19" x14ac:dyDescent="0.15">
      <c r="A90">
        <v>88</v>
      </c>
      <c r="B90" t="s">
        <v>147</v>
      </c>
      <c r="C90" t="s">
        <v>60</v>
      </c>
      <c r="D90" t="s">
        <v>29</v>
      </c>
      <c r="E90" t="s">
        <v>110</v>
      </c>
      <c r="F90">
        <v>649903</v>
      </c>
      <c r="G90">
        <v>1617</v>
      </c>
      <c r="H90">
        <v>1224</v>
      </c>
      <c r="I90">
        <v>2.6000000000000002E-2</v>
      </c>
      <c r="J90">
        <v>63375</v>
      </c>
      <c r="K90">
        <v>99.8</v>
      </c>
      <c r="L90">
        <v>95.99</v>
      </c>
      <c r="M90">
        <v>24.6</v>
      </c>
      <c r="N90">
        <v>41</v>
      </c>
      <c r="O90">
        <v>30.3</v>
      </c>
      <c r="P90">
        <v>37.6</v>
      </c>
      <c r="Q90">
        <v>3.2</v>
      </c>
      <c r="R90">
        <v>35.979199999999999</v>
      </c>
      <c r="S90">
        <v>-78.902199999999993</v>
      </c>
    </row>
    <row r="91" spans="1:19" x14ac:dyDescent="0.15">
      <c r="A91">
        <v>89</v>
      </c>
      <c r="B91" t="s">
        <v>148</v>
      </c>
      <c r="C91" t="s">
        <v>149</v>
      </c>
      <c r="D91" t="s">
        <v>26</v>
      </c>
      <c r="E91" t="s">
        <v>110</v>
      </c>
      <c r="F91">
        <v>647610</v>
      </c>
      <c r="G91">
        <v>956</v>
      </c>
      <c r="H91">
        <v>747</v>
      </c>
      <c r="I91">
        <v>2.8999999999999998E-2</v>
      </c>
      <c r="J91">
        <v>56343</v>
      </c>
      <c r="K91">
        <v>86.8</v>
      </c>
      <c r="L91">
        <v>90.85</v>
      </c>
      <c r="M91">
        <v>20.2</v>
      </c>
      <c r="N91">
        <v>45</v>
      </c>
      <c r="O91">
        <v>34.799999999999997</v>
      </c>
      <c r="P91">
        <v>43.9</v>
      </c>
      <c r="Q91">
        <v>1.7</v>
      </c>
      <c r="R91">
        <v>37.689500000000002</v>
      </c>
      <c r="S91">
        <v>-97.344300000000004</v>
      </c>
    </row>
    <row r="92" spans="1:19" x14ac:dyDescent="0.15">
      <c r="A92">
        <v>90</v>
      </c>
      <c r="B92" t="s">
        <v>150</v>
      </c>
      <c r="C92" t="s">
        <v>70</v>
      </c>
      <c r="D92" t="s">
        <v>26</v>
      </c>
      <c r="E92" t="s">
        <v>110</v>
      </c>
      <c r="F92">
        <v>646604</v>
      </c>
      <c r="G92">
        <v>1056</v>
      </c>
      <c r="H92">
        <v>739</v>
      </c>
      <c r="I92">
        <v>3.9E-2</v>
      </c>
      <c r="J92">
        <v>54423</v>
      </c>
      <c r="K92">
        <v>87.5</v>
      </c>
      <c r="L92">
        <v>90.52</v>
      </c>
      <c r="M92">
        <v>21.1</v>
      </c>
      <c r="N92">
        <v>42</v>
      </c>
      <c r="O92">
        <v>46.4</v>
      </c>
      <c r="P92">
        <v>45.6</v>
      </c>
      <c r="Q92">
        <v>2.2000000000000002</v>
      </c>
      <c r="R92">
        <v>41.663800000000002</v>
      </c>
      <c r="S92">
        <v>-83.582700000000003</v>
      </c>
    </row>
    <row r="93" spans="1:19" x14ac:dyDescent="0.15">
      <c r="A93">
        <v>91</v>
      </c>
      <c r="B93" t="s">
        <v>151</v>
      </c>
      <c r="C93" t="s">
        <v>38</v>
      </c>
      <c r="D93" t="s">
        <v>29</v>
      </c>
      <c r="E93" t="s">
        <v>110</v>
      </c>
      <c r="F93">
        <v>611000</v>
      </c>
      <c r="G93">
        <v>1280</v>
      </c>
      <c r="H93">
        <v>958</v>
      </c>
      <c r="I93">
        <v>3.2000000000000001E-2</v>
      </c>
      <c r="J93">
        <v>49432</v>
      </c>
      <c r="K93">
        <v>91.6</v>
      </c>
      <c r="L93">
        <v>91.96</v>
      </c>
      <c r="M93">
        <v>24</v>
      </c>
      <c r="N93">
        <v>42</v>
      </c>
      <c r="Q93">
        <v>0.7</v>
      </c>
      <c r="R93">
        <v>33.3645</v>
      </c>
      <c r="S93">
        <v>-82.070800000000006</v>
      </c>
    </row>
    <row r="94" spans="1:19" x14ac:dyDescent="0.15">
      <c r="A94">
        <v>92</v>
      </c>
      <c r="B94" t="s">
        <v>152</v>
      </c>
      <c r="C94" t="s">
        <v>36</v>
      </c>
      <c r="D94" t="s">
        <v>29</v>
      </c>
      <c r="E94" t="s">
        <v>110</v>
      </c>
      <c r="F94">
        <v>606612</v>
      </c>
      <c r="G94">
        <v>1874</v>
      </c>
      <c r="H94">
        <v>1233</v>
      </c>
      <c r="I94">
        <v>2.2000000000000002E-2</v>
      </c>
      <c r="J94">
        <v>55477</v>
      </c>
      <c r="L94">
        <v>98.96</v>
      </c>
      <c r="M94">
        <v>24.9</v>
      </c>
      <c r="N94">
        <v>42</v>
      </c>
      <c r="Q94">
        <v>1.9</v>
      </c>
      <c r="R94">
        <v>27.963100000000001</v>
      </c>
      <c r="S94">
        <v>-80.659300000000002</v>
      </c>
    </row>
    <row r="95" spans="1:19" x14ac:dyDescent="0.15">
      <c r="A95">
        <v>93</v>
      </c>
      <c r="B95" t="s">
        <v>153</v>
      </c>
      <c r="C95" t="s">
        <v>154</v>
      </c>
      <c r="D95" t="s">
        <v>29</v>
      </c>
      <c r="E95" t="s">
        <v>110</v>
      </c>
      <c r="F95">
        <v>591978</v>
      </c>
      <c r="G95">
        <v>1158</v>
      </c>
      <c r="H95">
        <v>983</v>
      </c>
      <c r="I95">
        <v>0.03</v>
      </c>
      <c r="J95">
        <v>51982</v>
      </c>
      <c r="K95">
        <v>87.8</v>
      </c>
      <c r="L95">
        <v>88.98</v>
      </c>
      <c r="M95">
        <v>25.1</v>
      </c>
      <c r="N95">
        <v>43</v>
      </c>
      <c r="Q95">
        <v>0.8</v>
      </c>
      <c r="R95">
        <v>32.3157</v>
      </c>
      <c r="S95">
        <v>-90.212500000000006</v>
      </c>
    </row>
    <row r="96" spans="1:19" x14ac:dyDescent="0.15">
      <c r="A96">
        <v>94</v>
      </c>
      <c r="B96" t="s">
        <v>155</v>
      </c>
      <c r="C96" t="s">
        <v>34</v>
      </c>
      <c r="D96" t="s">
        <v>19</v>
      </c>
      <c r="E96" t="s">
        <v>110</v>
      </c>
      <c r="F96">
        <v>591712</v>
      </c>
      <c r="G96">
        <v>1217</v>
      </c>
      <c r="H96">
        <v>1049</v>
      </c>
      <c r="I96">
        <v>2.7999999999999997E-2</v>
      </c>
      <c r="J96">
        <v>60517</v>
      </c>
      <c r="K96">
        <v>95.8</v>
      </c>
      <c r="L96">
        <v>97.53</v>
      </c>
      <c r="M96">
        <v>22.8</v>
      </c>
      <c r="N96">
        <v>38</v>
      </c>
      <c r="Q96">
        <v>1.7</v>
      </c>
      <c r="R96">
        <v>40.275199999999998</v>
      </c>
      <c r="S96">
        <v>-76.884299999999996</v>
      </c>
    </row>
    <row r="97" spans="1:19" x14ac:dyDescent="0.15">
      <c r="A97">
        <v>95</v>
      </c>
      <c r="B97" t="s">
        <v>156</v>
      </c>
      <c r="C97" t="s">
        <v>31</v>
      </c>
      <c r="D97" t="s">
        <v>23</v>
      </c>
      <c r="E97" t="s">
        <v>110</v>
      </c>
      <c r="F97">
        <v>585784</v>
      </c>
      <c r="G97">
        <v>1434</v>
      </c>
      <c r="H97">
        <v>980</v>
      </c>
      <c r="I97">
        <v>5.5E-2</v>
      </c>
      <c r="J97">
        <v>53278</v>
      </c>
      <c r="K97">
        <v>100.4</v>
      </c>
      <c r="L97">
        <v>98.71</v>
      </c>
      <c r="M97">
        <v>22.6</v>
      </c>
      <c r="N97">
        <v>40</v>
      </c>
      <c r="O97">
        <v>49.2</v>
      </c>
      <c r="P97">
        <v>52.1</v>
      </c>
      <c r="Q97">
        <v>3.8</v>
      </c>
      <c r="R97">
        <v>47.667099999999998</v>
      </c>
      <c r="S97">
        <v>-117.43300000000001</v>
      </c>
    </row>
    <row r="98" spans="1:19" x14ac:dyDescent="0.15">
      <c r="A98">
        <v>96</v>
      </c>
      <c r="B98" t="s">
        <v>157</v>
      </c>
      <c r="C98" t="s">
        <v>34</v>
      </c>
      <c r="D98" t="s">
        <v>19</v>
      </c>
      <c r="E98" t="s">
        <v>110</v>
      </c>
      <c r="F98">
        <v>567559</v>
      </c>
      <c r="G98">
        <v>1204</v>
      </c>
      <c r="H98">
        <v>868</v>
      </c>
      <c r="I98">
        <v>4.2999999999999997E-2</v>
      </c>
      <c r="J98">
        <v>53256</v>
      </c>
      <c r="K98">
        <v>91.3</v>
      </c>
      <c r="L98">
        <v>93.37</v>
      </c>
      <c r="M98">
        <v>22.3</v>
      </c>
      <c r="N98">
        <v>36</v>
      </c>
      <c r="Q98">
        <v>2.6</v>
      </c>
      <c r="R98">
        <v>41.404400000000003</v>
      </c>
      <c r="S98">
        <v>-75.664900000000003</v>
      </c>
    </row>
    <row r="99" spans="1:19" x14ac:dyDescent="0.15">
      <c r="A99">
        <v>97</v>
      </c>
      <c r="B99" t="s">
        <v>158</v>
      </c>
      <c r="C99" t="s">
        <v>78</v>
      </c>
      <c r="D99" t="s">
        <v>29</v>
      </c>
      <c r="E99" t="s">
        <v>110</v>
      </c>
      <c r="F99">
        <v>562647</v>
      </c>
      <c r="G99">
        <v>1512</v>
      </c>
      <c r="H99">
        <v>1001</v>
      </c>
      <c r="I99">
        <v>2.8999999999999998E-2</v>
      </c>
      <c r="J99">
        <v>53906</v>
      </c>
      <c r="K99">
        <v>91.2</v>
      </c>
      <c r="L99">
        <v>90.23</v>
      </c>
      <c r="M99">
        <v>24.4</v>
      </c>
      <c r="N99">
        <v>46</v>
      </c>
      <c r="Q99">
        <v>1.2</v>
      </c>
      <c r="R99">
        <v>35.066000000000003</v>
      </c>
      <c r="S99">
        <v>-85.248099999999994</v>
      </c>
    </row>
    <row r="100" spans="1:19" x14ac:dyDescent="0.15">
      <c r="A100">
        <v>98</v>
      </c>
      <c r="B100" t="s">
        <v>159</v>
      </c>
      <c r="C100" t="s">
        <v>34</v>
      </c>
      <c r="D100" t="s">
        <v>19</v>
      </c>
      <c r="E100" t="s">
        <v>110</v>
      </c>
      <c r="F100">
        <v>552984</v>
      </c>
      <c r="G100">
        <v>1327</v>
      </c>
      <c r="H100">
        <v>1105</v>
      </c>
      <c r="I100">
        <v>2.5000000000000001E-2</v>
      </c>
      <c r="J100">
        <v>61547</v>
      </c>
      <c r="K100">
        <v>99.5</v>
      </c>
      <c r="L100">
        <v>97.13</v>
      </c>
      <c r="M100">
        <v>24</v>
      </c>
      <c r="N100">
        <v>48</v>
      </c>
      <c r="Q100">
        <v>2.4</v>
      </c>
      <c r="R100">
        <v>40.042000000000002</v>
      </c>
      <c r="S100">
        <v>-76.301199999999994</v>
      </c>
    </row>
    <row r="101" spans="1:19" x14ac:dyDescent="0.15">
      <c r="A101">
        <v>99</v>
      </c>
      <c r="B101" t="s">
        <v>160</v>
      </c>
      <c r="C101" t="s">
        <v>22</v>
      </c>
      <c r="D101" t="s">
        <v>23</v>
      </c>
      <c r="E101" t="s">
        <v>110</v>
      </c>
      <c r="F101">
        <v>552878</v>
      </c>
      <c r="G101">
        <v>1867</v>
      </c>
      <c r="H101">
        <v>1144</v>
      </c>
      <c r="I101">
        <v>5.2999999999999999E-2</v>
      </c>
      <c r="J101">
        <v>52356</v>
      </c>
      <c r="K101">
        <v>112.3</v>
      </c>
      <c r="L101">
        <v>102.98</v>
      </c>
      <c r="M101">
        <v>28.8</v>
      </c>
      <c r="N101">
        <v>48</v>
      </c>
      <c r="Q101">
        <v>3.6</v>
      </c>
      <c r="R101">
        <v>37.637500000000003</v>
      </c>
      <c r="S101">
        <v>-121.00279999999999</v>
      </c>
    </row>
    <row r="102" spans="1:19" x14ac:dyDescent="0.15">
      <c r="A102">
        <v>100</v>
      </c>
      <c r="B102" t="s">
        <v>62</v>
      </c>
      <c r="C102" t="s">
        <v>161</v>
      </c>
      <c r="D102" t="s">
        <v>19</v>
      </c>
      <c r="E102" t="s">
        <v>110</v>
      </c>
      <c r="F102">
        <v>551740</v>
      </c>
      <c r="G102">
        <v>2131</v>
      </c>
      <c r="H102">
        <v>1563</v>
      </c>
      <c r="I102">
        <v>0</v>
      </c>
      <c r="J102">
        <v>68555</v>
      </c>
      <c r="K102">
        <v>113</v>
      </c>
      <c r="L102">
        <v>101.74</v>
      </c>
      <c r="M102">
        <v>25.4</v>
      </c>
      <c r="N102">
        <v>38</v>
      </c>
      <c r="Q102">
        <v>1.7</v>
      </c>
      <c r="R102">
        <v>43.677300000000002</v>
      </c>
      <c r="S102">
        <v>-70.271500000000003</v>
      </c>
    </row>
    <row r="103" spans="1:19" x14ac:dyDescent="0.15">
      <c r="A103">
        <v>101</v>
      </c>
      <c r="B103" t="s">
        <v>162</v>
      </c>
      <c r="C103" t="s">
        <v>136</v>
      </c>
      <c r="D103" t="s">
        <v>29</v>
      </c>
      <c r="E103" t="s">
        <v>110</v>
      </c>
      <c r="F103">
        <v>546725</v>
      </c>
      <c r="G103">
        <v>1537</v>
      </c>
      <c r="H103">
        <v>824</v>
      </c>
      <c r="I103">
        <v>0.02</v>
      </c>
      <c r="J103">
        <v>70594</v>
      </c>
      <c r="K103">
        <v>90.4</v>
      </c>
      <c r="L103">
        <v>93.3</v>
      </c>
      <c r="M103">
        <v>20.6</v>
      </c>
      <c r="N103">
        <v>38</v>
      </c>
      <c r="Q103">
        <v>1.4</v>
      </c>
      <c r="R103">
        <v>36.071399999999997</v>
      </c>
      <c r="S103">
        <v>-94.1661</v>
      </c>
    </row>
    <row r="104" spans="1:19" x14ac:dyDescent="0.15">
      <c r="A104">
        <v>102</v>
      </c>
      <c r="B104" t="s">
        <v>163</v>
      </c>
      <c r="C104" t="s">
        <v>46</v>
      </c>
      <c r="D104" t="s">
        <v>26</v>
      </c>
      <c r="E104" t="s">
        <v>110</v>
      </c>
      <c r="F104">
        <v>541297</v>
      </c>
      <c r="G104">
        <v>1065</v>
      </c>
      <c r="H104">
        <v>925</v>
      </c>
      <c r="I104">
        <v>3.6000000000000004E-2</v>
      </c>
      <c r="J104">
        <v>50326</v>
      </c>
      <c r="K104">
        <v>88.7</v>
      </c>
      <c r="L104">
        <v>94.08</v>
      </c>
      <c r="M104">
        <v>21.1</v>
      </c>
      <c r="N104">
        <v>41</v>
      </c>
      <c r="Q104">
        <v>2.9</v>
      </c>
      <c r="R104">
        <v>42.714199999999998</v>
      </c>
      <c r="S104">
        <v>-84.560100000000006</v>
      </c>
    </row>
    <row r="105" spans="1:19" x14ac:dyDescent="0.15">
      <c r="A105">
        <v>103</v>
      </c>
      <c r="B105" t="s">
        <v>164</v>
      </c>
      <c r="C105" t="s">
        <v>70</v>
      </c>
      <c r="D105" t="s">
        <v>26</v>
      </c>
      <c r="E105" t="s">
        <v>110</v>
      </c>
      <c r="F105">
        <v>541243</v>
      </c>
      <c r="G105">
        <v>879</v>
      </c>
      <c r="H105">
        <v>675</v>
      </c>
      <c r="I105">
        <v>4.4999999999999998E-2</v>
      </c>
      <c r="J105">
        <v>48904</v>
      </c>
      <c r="K105">
        <v>86.4</v>
      </c>
      <c r="L105">
        <v>87.41</v>
      </c>
      <c r="M105">
        <v>21.8</v>
      </c>
      <c r="N105">
        <v>43</v>
      </c>
      <c r="Q105">
        <v>1.3</v>
      </c>
      <c r="R105">
        <v>41.099299999999999</v>
      </c>
      <c r="S105">
        <v>-80.646299999999997</v>
      </c>
    </row>
    <row r="106" spans="1:19" x14ac:dyDescent="0.15">
      <c r="A106">
        <v>104</v>
      </c>
      <c r="B106" t="s">
        <v>162</v>
      </c>
      <c r="C106" t="s">
        <v>60</v>
      </c>
      <c r="D106" t="s">
        <v>29</v>
      </c>
      <c r="E106" t="s">
        <v>110</v>
      </c>
      <c r="F106">
        <v>520378</v>
      </c>
      <c r="G106">
        <v>1339</v>
      </c>
      <c r="H106">
        <v>959</v>
      </c>
      <c r="I106">
        <v>4.8000000000000001E-2</v>
      </c>
      <c r="J106">
        <v>45542</v>
      </c>
      <c r="K106">
        <v>89.5</v>
      </c>
      <c r="L106">
        <v>91.68</v>
      </c>
      <c r="M106">
        <v>22.6</v>
      </c>
      <c r="N106">
        <v>41</v>
      </c>
      <c r="O106">
        <v>21.4</v>
      </c>
      <c r="P106">
        <v>29.7</v>
      </c>
      <c r="Q106">
        <v>1.8</v>
      </c>
      <c r="R106">
        <v>35.085000000000001</v>
      </c>
      <c r="S106">
        <v>-78.977199999999996</v>
      </c>
    </row>
    <row r="107" spans="1:19" x14ac:dyDescent="0.15">
      <c r="A107">
        <v>105</v>
      </c>
      <c r="B107" t="s">
        <v>165</v>
      </c>
      <c r="C107" t="s">
        <v>92</v>
      </c>
      <c r="D107" t="s">
        <v>29</v>
      </c>
      <c r="E107" t="s">
        <v>110</v>
      </c>
      <c r="F107">
        <v>516811</v>
      </c>
      <c r="G107">
        <v>1369</v>
      </c>
      <c r="H107">
        <v>909</v>
      </c>
      <c r="I107">
        <v>2.6000000000000002E-2</v>
      </c>
      <c r="J107">
        <v>57519</v>
      </c>
      <c r="K107">
        <v>91.1</v>
      </c>
      <c r="L107">
        <v>92</v>
      </c>
      <c r="M107">
        <v>21.5</v>
      </c>
      <c r="N107">
        <v>42</v>
      </c>
      <c r="Q107">
        <v>2.5</v>
      </c>
      <c r="R107">
        <v>38.042299999999997</v>
      </c>
      <c r="S107">
        <v>-84.458699999999993</v>
      </c>
    </row>
    <row r="108" spans="1:19" x14ac:dyDescent="0.15">
      <c r="A108">
        <v>106</v>
      </c>
      <c r="B108" t="s">
        <v>166</v>
      </c>
      <c r="C108" t="s">
        <v>36</v>
      </c>
      <c r="D108" t="s">
        <v>29</v>
      </c>
      <c r="E108" t="s">
        <v>110</v>
      </c>
      <c r="F108">
        <v>509905</v>
      </c>
      <c r="G108">
        <v>1538</v>
      </c>
      <c r="H108">
        <v>1077</v>
      </c>
      <c r="I108">
        <v>2.3E-2</v>
      </c>
      <c r="J108">
        <v>52548</v>
      </c>
      <c r="K108">
        <v>97.9</v>
      </c>
      <c r="L108">
        <v>95.82</v>
      </c>
      <c r="M108">
        <v>24.5</v>
      </c>
      <c r="N108">
        <v>45</v>
      </c>
      <c r="Q108">
        <v>1.6</v>
      </c>
      <c r="R108">
        <v>30.441299999999998</v>
      </c>
      <c r="S108">
        <v>-87.191100000000006</v>
      </c>
    </row>
    <row r="109" spans="1:19" x14ac:dyDescent="0.15">
      <c r="A109">
        <v>107</v>
      </c>
      <c r="B109" t="s">
        <v>167</v>
      </c>
      <c r="C109" t="s">
        <v>101</v>
      </c>
      <c r="D109" t="s">
        <v>29</v>
      </c>
      <c r="E109" t="s">
        <v>110</v>
      </c>
      <c r="F109">
        <v>491723</v>
      </c>
      <c r="G109">
        <v>1456</v>
      </c>
      <c r="H109">
        <v>941</v>
      </c>
      <c r="I109">
        <v>1.8000000000000002E-2</v>
      </c>
      <c r="J109">
        <v>57815</v>
      </c>
      <c r="K109">
        <v>91.3</v>
      </c>
      <c r="L109">
        <v>91.51</v>
      </c>
      <c r="N109">
        <v>43</v>
      </c>
      <c r="Q109">
        <v>0.8</v>
      </c>
      <c r="R109">
        <v>34.698099999999997</v>
      </c>
      <c r="S109">
        <v>-86.641199999999998</v>
      </c>
    </row>
    <row r="110" spans="1:19" x14ac:dyDescent="0.15">
      <c r="A110">
        <v>108</v>
      </c>
      <c r="B110" t="s">
        <v>168</v>
      </c>
      <c r="C110" t="s">
        <v>68</v>
      </c>
      <c r="D110" t="s">
        <v>23</v>
      </c>
      <c r="E110" t="s">
        <v>110</v>
      </c>
      <c r="F110">
        <v>490596</v>
      </c>
      <c r="G110">
        <v>1912</v>
      </c>
      <c r="H110">
        <v>1365</v>
      </c>
      <c r="I110">
        <v>3.4000000000000002E-2</v>
      </c>
      <c r="J110">
        <v>71489</v>
      </c>
      <c r="K110">
        <v>107.4</v>
      </c>
      <c r="L110">
        <v>97.42</v>
      </c>
      <c r="M110">
        <v>21.3</v>
      </c>
      <c r="N110">
        <v>47</v>
      </c>
      <c r="O110">
        <v>40.200000000000003</v>
      </c>
      <c r="P110">
        <v>52</v>
      </c>
      <c r="Q110">
        <v>3.2</v>
      </c>
      <c r="R110">
        <v>39.549700000000001</v>
      </c>
      <c r="S110">
        <v>-119.84829999999999</v>
      </c>
    </row>
    <row r="111" spans="1:19" x14ac:dyDescent="0.15">
      <c r="A111">
        <v>109</v>
      </c>
      <c r="B111" t="s">
        <v>169</v>
      </c>
      <c r="C111" t="s">
        <v>22</v>
      </c>
      <c r="D111" t="s">
        <v>23</v>
      </c>
      <c r="E111" t="s">
        <v>110</v>
      </c>
      <c r="F111">
        <v>488863</v>
      </c>
      <c r="G111">
        <v>2440</v>
      </c>
      <c r="H111">
        <v>1848</v>
      </c>
      <c r="I111">
        <v>2.5000000000000001E-2</v>
      </c>
      <c r="J111">
        <v>81006</v>
      </c>
      <c r="K111">
        <v>141.69999999999999</v>
      </c>
      <c r="L111">
        <v>109.81</v>
      </c>
      <c r="M111">
        <v>25.1</v>
      </c>
      <c r="N111">
        <v>32</v>
      </c>
      <c r="Q111">
        <v>3.4</v>
      </c>
      <c r="R111">
        <v>38.445799999999998</v>
      </c>
      <c r="S111">
        <v>-122.7067</v>
      </c>
    </row>
    <row r="112" spans="1:19" x14ac:dyDescent="0.15">
      <c r="A112">
        <v>110</v>
      </c>
      <c r="B112" t="s">
        <v>170</v>
      </c>
      <c r="C112" t="s">
        <v>115</v>
      </c>
      <c r="D112" t="s">
        <v>29</v>
      </c>
      <c r="E112" t="s">
        <v>110</v>
      </c>
      <c r="F112">
        <v>487722</v>
      </c>
      <c r="G112">
        <v>1837</v>
      </c>
      <c r="H112">
        <v>1052</v>
      </c>
      <c r="I112">
        <v>4.0999999999999995E-2</v>
      </c>
      <c r="J112">
        <v>49234</v>
      </c>
      <c r="K112">
        <v>94.7</v>
      </c>
      <c r="L112">
        <v>94.79</v>
      </c>
      <c r="M112">
        <v>21.8</v>
      </c>
      <c r="N112">
        <v>39</v>
      </c>
      <c r="Q112">
        <v>0.5</v>
      </c>
      <c r="R112">
        <v>33.709400000000002</v>
      </c>
      <c r="S112">
        <v>-78.884399999999999</v>
      </c>
    </row>
    <row r="113" spans="1:19" x14ac:dyDescent="0.15">
      <c r="A113">
        <v>111</v>
      </c>
      <c r="B113" t="s">
        <v>171</v>
      </c>
      <c r="C113" t="s">
        <v>94</v>
      </c>
      <c r="D113" t="s">
        <v>29</v>
      </c>
      <c r="E113" t="s">
        <v>110</v>
      </c>
      <c r="F113">
        <v>478384</v>
      </c>
      <c r="G113">
        <v>1203</v>
      </c>
      <c r="H113">
        <v>930</v>
      </c>
      <c r="I113">
        <v>3.1E-2</v>
      </c>
      <c r="J113">
        <v>52241</v>
      </c>
      <c r="K113">
        <v>89.6</v>
      </c>
      <c r="L113">
        <v>90.73</v>
      </c>
      <c r="M113">
        <v>24.6</v>
      </c>
      <c r="N113">
        <v>41</v>
      </c>
      <c r="Q113">
        <v>1</v>
      </c>
      <c r="R113">
        <v>30.208200000000001</v>
      </c>
      <c r="S113">
        <v>-92.032499999999999</v>
      </c>
    </row>
    <row r="114" spans="1:19" x14ac:dyDescent="0.15">
      <c r="A114">
        <v>112</v>
      </c>
      <c r="B114" t="s">
        <v>141</v>
      </c>
      <c r="C114" t="s">
        <v>57</v>
      </c>
      <c r="D114" t="s">
        <v>26</v>
      </c>
      <c r="E114" t="s">
        <v>110</v>
      </c>
      <c r="F114">
        <v>475432</v>
      </c>
      <c r="G114">
        <v>1225</v>
      </c>
      <c r="H114">
        <v>717</v>
      </c>
      <c r="I114">
        <v>1.9E-2</v>
      </c>
      <c r="J114">
        <v>48664</v>
      </c>
      <c r="K114">
        <v>86.7</v>
      </c>
      <c r="L114">
        <v>89.11</v>
      </c>
      <c r="M114">
        <v>22.3</v>
      </c>
      <c r="N114">
        <v>43</v>
      </c>
      <c r="Q114">
        <v>1.7</v>
      </c>
      <c r="R114">
        <v>37.194299999999998</v>
      </c>
      <c r="S114">
        <v>-93.291600000000003</v>
      </c>
    </row>
    <row r="115" spans="1:19" x14ac:dyDescent="0.15">
      <c r="A115">
        <v>113</v>
      </c>
      <c r="B115" t="s">
        <v>172</v>
      </c>
      <c r="C115" t="s">
        <v>28</v>
      </c>
      <c r="D115" t="s">
        <v>29</v>
      </c>
      <c r="E115" t="s">
        <v>110</v>
      </c>
      <c r="F115">
        <v>475367</v>
      </c>
      <c r="G115">
        <v>1271</v>
      </c>
      <c r="H115">
        <v>804</v>
      </c>
      <c r="I115">
        <v>0.04</v>
      </c>
      <c r="J115">
        <v>47755</v>
      </c>
      <c r="K115">
        <v>88.6</v>
      </c>
      <c r="L115">
        <v>93.56</v>
      </c>
      <c r="M115">
        <v>20.2</v>
      </c>
      <c r="N115">
        <v>44</v>
      </c>
      <c r="Q115">
        <v>1.6</v>
      </c>
      <c r="R115">
        <v>31.075299999999999</v>
      </c>
      <c r="S115">
        <v>-97.729699999999994</v>
      </c>
    </row>
    <row r="116" spans="1:19" x14ac:dyDescent="0.15">
      <c r="A116">
        <v>114</v>
      </c>
      <c r="B116" t="s">
        <v>173</v>
      </c>
      <c r="C116" t="s">
        <v>22</v>
      </c>
      <c r="D116" t="s">
        <v>23</v>
      </c>
      <c r="E116" t="s">
        <v>110</v>
      </c>
      <c r="F116">
        <v>473117</v>
      </c>
      <c r="G116">
        <v>1748</v>
      </c>
      <c r="H116">
        <v>907</v>
      </c>
      <c r="I116">
        <v>8.199999999999999E-2</v>
      </c>
      <c r="J116">
        <v>47986</v>
      </c>
      <c r="K116">
        <v>103.6</v>
      </c>
      <c r="L116">
        <v>98.98</v>
      </c>
      <c r="M116">
        <v>22.4</v>
      </c>
      <c r="N116">
        <v>67</v>
      </c>
      <c r="Q116">
        <v>4.0999999999999996</v>
      </c>
      <c r="R116">
        <v>36.327599999999997</v>
      </c>
      <c r="S116">
        <v>-119.32689999999999</v>
      </c>
    </row>
    <row r="117" spans="1:19" x14ac:dyDescent="0.15">
      <c r="A117">
        <v>115</v>
      </c>
      <c r="B117" t="s">
        <v>174</v>
      </c>
      <c r="C117" t="s">
        <v>60</v>
      </c>
      <c r="D117" t="s">
        <v>29</v>
      </c>
      <c r="E117" t="s">
        <v>110</v>
      </c>
      <c r="F117">
        <v>469015</v>
      </c>
      <c r="G117">
        <v>1811</v>
      </c>
      <c r="H117">
        <v>1361</v>
      </c>
      <c r="I117">
        <v>2.5000000000000001E-2</v>
      </c>
      <c r="J117">
        <v>54827</v>
      </c>
      <c r="K117">
        <v>103.3</v>
      </c>
      <c r="L117">
        <v>94.7</v>
      </c>
      <c r="M117">
        <v>21.6</v>
      </c>
      <c r="N117">
        <v>43</v>
      </c>
      <c r="Q117">
        <v>1.1000000000000001</v>
      </c>
      <c r="R117">
        <v>35.570700000000002</v>
      </c>
      <c r="S117">
        <v>-82.553700000000006</v>
      </c>
    </row>
    <row r="118" spans="1:19" x14ac:dyDescent="0.15">
      <c r="A118">
        <v>116</v>
      </c>
      <c r="B118" t="s">
        <v>175</v>
      </c>
      <c r="C118" t="s">
        <v>34</v>
      </c>
      <c r="D118" t="s">
        <v>19</v>
      </c>
      <c r="E118" t="s">
        <v>110</v>
      </c>
      <c r="F118">
        <v>456438</v>
      </c>
      <c r="G118">
        <v>1191</v>
      </c>
      <c r="H118">
        <v>938</v>
      </c>
      <c r="I118">
        <v>2.7999999999999997E-2</v>
      </c>
      <c r="J118">
        <v>57870</v>
      </c>
      <c r="K118">
        <v>95.8</v>
      </c>
      <c r="L118">
        <v>96.85</v>
      </c>
      <c r="M118">
        <v>27.2</v>
      </c>
      <c r="N118">
        <v>40</v>
      </c>
      <c r="Q118">
        <v>1.5</v>
      </c>
      <c r="R118">
        <v>39.9651</v>
      </c>
      <c r="S118">
        <v>-76.731499999999997</v>
      </c>
    </row>
    <row r="119" spans="1:19" x14ac:dyDescent="0.15">
      <c r="A119">
        <v>117</v>
      </c>
      <c r="B119" t="s">
        <v>176</v>
      </c>
      <c r="C119" t="s">
        <v>22</v>
      </c>
      <c r="D119" t="s">
        <v>23</v>
      </c>
      <c r="E119" t="s">
        <v>110</v>
      </c>
      <c r="F119">
        <v>453491</v>
      </c>
      <c r="G119">
        <v>2117</v>
      </c>
      <c r="H119">
        <v>1776</v>
      </c>
      <c r="I119">
        <v>3.7999999999999999E-2</v>
      </c>
      <c r="J119">
        <v>65448</v>
      </c>
      <c r="K119">
        <v>125.2</v>
      </c>
      <c r="L119">
        <v>109.38</v>
      </c>
      <c r="M119">
        <v>32.5</v>
      </c>
      <c r="N119">
        <v>40</v>
      </c>
      <c r="Q119">
        <v>3.9</v>
      </c>
      <c r="R119">
        <v>38.112499999999997</v>
      </c>
      <c r="S119">
        <v>-122.2342</v>
      </c>
    </row>
    <row r="120" spans="1:19" x14ac:dyDescent="0.15">
      <c r="A120">
        <v>118</v>
      </c>
      <c r="B120" t="s">
        <v>177</v>
      </c>
      <c r="C120" t="s">
        <v>22</v>
      </c>
      <c r="D120" t="s">
        <v>23</v>
      </c>
      <c r="E120" t="s">
        <v>110</v>
      </c>
      <c r="F120">
        <v>448229</v>
      </c>
      <c r="G120">
        <v>2733</v>
      </c>
      <c r="H120">
        <v>2490</v>
      </c>
      <c r="I120">
        <v>3.1E-2</v>
      </c>
      <c r="J120">
        <v>73995</v>
      </c>
      <c r="K120">
        <v>143</v>
      </c>
      <c r="L120">
        <v>111.81</v>
      </c>
      <c r="M120">
        <v>19.600000000000001</v>
      </c>
      <c r="N120">
        <v>43</v>
      </c>
      <c r="Q120">
        <v>4.3</v>
      </c>
      <c r="R120">
        <v>34.933300000000003</v>
      </c>
      <c r="S120">
        <v>-120.4431</v>
      </c>
    </row>
    <row r="121" spans="1:19" x14ac:dyDescent="0.15">
      <c r="A121">
        <v>119</v>
      </c>
      <c r="B121" t="s">
        <v>178</v>
      </c>
      <c r="C121" t="s">
        <v>22</v>
      </c>
      <c r="D121" t="s">
        <v>23</v>
      </c>
      <c r="E121" t="s">
        <v>110</v>
      </c>
      <c r="F121">
        <v>439035</v>
      </c>
      <c r="G121">
        <v>2118</v>
      </c>
      <c r="H121">
        <v>2324</v>
      </c>
      <c r="I121">
        <v>6.9000000000000006E-2</v>
      </c>
      <c r="J121">
        <v>63449</v>
      </c>
      <c r="K121">
        <v>138.30000000000001</v>
      </c>
      <c r="L121">
        <v>109.27</v>
      </c>
      <c r="M121">
        <v>23</v>
      </c>
      <c r="N121">
        <v>39</v>
      </c>
      <c r="Q121">
        <v>4.2</v>
      </c>
      <c r="R121">
        <v>36.688299999999998</v>
      </c>
      <c r="S121">
        <v>-121.6317</v>
      </c>
    </row>
    <row r="122" spans="1:19" x14ac:dyDescent="0.15">
      <c r="A122">
        <v>120</v>
      </c>
      <c r="B122" t="s">
        <v>179</v>
      </c>
      <c r="C122" t="s">
        <v>63</v>
      </c>
      <c r="D122" t="s">
        <v>23</v>
      </c>
      <c r="E122" t="s">
        <v>110</v>
      </c>
      <c r="F122">
        <v>433353</v>
      </c>
      <c r="G122">
        <v>1680</v>
      </c>
      <c r="H122">
        <v>1040</v>
      </c>
      <c r="I122">
        <v>4.4999999999999998E-2</v>
      </c>
      <c r="J122">
        <v>52971</v>
      </c>
      <c r="K122">
        <v>105.8</v>
      </c>
      <c r="L122">
        <v>101.84</v>
      </c>
      <c r="M122">
        <v>24.9</v>
      </c>
      <c r="N122">
        <v>30</v>
      </c>
      <c r="Q122">
        <v>4.2</v>
      </c>
      <c r="R122">
        <v>44.923299999999998</v>
      </c>
      <c r="S122">
        <v>-123.0244</v>
      </c>
    </row>
    <row r="123" spans="1:19" x14ac:dyDescent="0.15">
      <c r="A123">
        <v>121</v>
      </c>
      <c r="B123" t="s">
        <v>180</v>
      </c>
      <c r="C123" t="s">
        <v>101</v>
      </c>
      <c r="D123" t="s">
        <v>29</v>
      </c>
      <c r="E123" t="s">
        <v>110</v>
      </c>
      <c r="F123">
        <v>430197</v>
      </c>
      <c r="G123">
        <v>1093</v>
      </c>
      <c r="H123">
        <v>846</v>
      </c>
      <c r="I123">
        <v>0.03</v>
      </c>
      <c r="J123">
        <v>46402</v>
      </c>
      <c r="K123">
        <v>88.3</v>
      </c>
      <c r="L123">
        <v>87.8</v>
      </c>
      <c r="M123">
        <v>24.8</v>
      </c>
      <c r="N123">
        <v>42</v>
      </c>
      <c r="Q123">
        <v>1.7</v>
      </c>
      <c r="R123">
        <v>30.6782</v>
      </c>
      <c r="S123">
        <v>-88.116200000000006</v>
      </c>
    </row>
    <row r="124" spans="1:19" x14ac:dyDescent="0.15">
      <c r="A124">
        <v>122</v>
      </c>
      <c r="B124" t="s">
        <v>181</v>
      </c>
      <c r="C124" t="s">
        <v>34</v>
      </c>
      <c r="D124" t="s">
        <v>19</v>
      </c>
      <c r="E124" t="s">
        <v>110</v>
      </c>
      <c r="F124">
        <v>428849</v>
      </c>
      <c r="G124">
        <v>1173</v>
      </c>
      <c r="H124">
        <v>975</v>
      </c>
      <c r="I124">
        <v>3.4000000000000002E-2</v>
      </c>
      <c r="J124">
        <v>57970</v>
      </c>
      <c r="K124">
        <v>96</v>
      </c>
      <c r="L124">
        <v>96.32</v>
      </c>
      <c r="M124">
        <v>25.4</v>
      </c>
      <c r="N124">
        <v>38</v>
      </c>
      <c r="Q124">
        <v>2.4</v>
      </c>
      <c r="R124">
        <v>40.340000000000003</v>
      </c>
      <c r="S124">
        <v>-75.926699999999997</v>
      </c>
    </row>
    <row r="125" spans="1:19" x14ac:dyDescent="0.15">
      <c r="A125">
        <v>123</v>
      </c>
      <c r="B125" t="s">
        <v>182</v>
      </c>
      <c r="C125" t="s">
        <v>183</v>
      </c>
      <c r="D125" t="s">
        <v>19</v>
      </c>
      <c r="E125" t="s">
        <v>110</v>
      </c>
      <c r="F125">
        <v>422937</v>
      </c>
      <c r="G125">
        <v>1718</v>
      </c>
      <c r="H125">
        <v>1354</v>
      </c>
      <c r="I125">
        <v>0</v>
      </c>
      <c r="J125">
        <v>71849</v>
      </c>
      <c r="K125">
        <v>109.6</v>
      </c>
      <c r="L125">
        <v>102.16</v>
      </c>
      <c r="M125">
        <v>26.9</v>
      </c>
      <c r="N125">
        <v>41</v>
      </c>
      <c r="Q125">
        <v>1.7</v>
      </c>
      <c r="R125">
        <v>42.9848</v>
      </c>
      <c r="S125">
        <v>-71.444699999999997</v>
      </c>
    </row>
    <row r="126" spans="1:19" x14ac:dyDescent="0.15">
      <c r="A126">
        <v>124</v>
      </c>
      <c r="B126" t="s">
        <v>184</v>
      </c>
      <c r="C126" t="s">
        <v>28</v>
      </c>
      <c r="D126" t="s">
        <v>29</v>
      </c>
      <c r="E126" t="s">
        <v>110</v>
      </c>
      <c r="F126">
        <v>421933</v>
      </c>
      <c r="G126">
        <v>1375</v>
      </c>
      <c r="H126">
        <v>1104</v>
      </c>
      <c r="I126">
        <v>4.4999999999999998E-2</v>
      </c>
      <c r="J126">
        <v>52612</v>
      </c>
      <c r="K126">
        <v>93.3</v>
      </c>
      <c r="L126">
        <v>94.81</v>
      </c>
      <c r="M126">
        <v>19.600000000000001</v>
      </c>
      <c r="N126">
        <v>45</v>
      </c>
      <c r="O126">
        <v>40.299999999999997</v>
      </c>
      <c r="P126">
        <v>42.1</v>
      </c>
      <c r="Q126">
        <v>3.4</v>
      </c>
      <c r="R126">
        <v>27.7254</v>
      </c>
      <c r="S126">
        <v>-97.3767</v>
      </c>
    </row>
    <row r="127" spans="1:19" x14ac:dyDescent="0.15">
      <c r="A127">
        <v>125</v>
      </c>
      <c r="B127" t="s">
        <v>185</v>
      </c>
      <c r="C127" t="s">
        <v>28</v>
      </c>
      <c r="D127" t="s">
        <v>29</v>
      </c>
      <c r="E127" t="s">
        <v>110</v>
      </c>
      <c r="F127">
        <v>421017</v>
      </c>
      <c r="G127">
        <v>1330</v>
      </c>
      <c r="H127">
        <v>745</v>
      </c>
      <c r="I127">
        <v>5.7000000000000002E-2</v>
      </c>
      <c r="J127">
        <v>37861</v>
      </c>
      <c r="K127">
        <v>87.8</v>
      </c>
      <c r="L127">
        <v>88.36</v>
      </c>
      <c r="M127">
        <v>20.8</v>
      </c>
      <c r="N127">
        <v>47</v>
      </c>
      <c r="Q127">
        <v>2</v>
      </c>
      <c r="R127">
        <v>25.997499999999999</v>
      </c>
      <c r="S127">
        <v>-97.457999999999998</v>
      </c>
    </row>
    <row r="128" spans="1:19" x14ac:dyDescent="0.15">
      <c r="A128">
        <v>126</v>
      </c>
      <c r="B128" t="s">
        <v>186</v>
      </c>
      <c r="C128" t="s">
        <v>74</v>
      </c>
      <c r="D128" t="s">
        <v>26</v>
      </c>
      <c r="E128" t="s">
        <v>110</v>
      </c>
      <c r="F128">
        <v>419601</v>
      </c>
      <c r="G128">
        <v>1078</v>
      </c>
      <c r="H128">
        <v>790</v>
      </c>
      <c r="I128">
        <v>2.2000000000000002E-2</v>
      </c>
      <c r="J128">
        <v>54623</v>
      </c>
      <c r="K128">
        <v>86.8</v>
      </c>
      <c r="L128">
        <v>92.14</v>
      </c>
      <c r="M128">
        <v>21.8</v>
      </c>
      <c r="N128">
        <v>41</v>
      </c>
      <c r="O128">
        <v>31.7</v>
      </c>
      <c r="P128">
        <v>41</v>
      </c>
      <c r="Q128">
        <v>1.8</v>
      </c>
      <c r="R128">
        <v>41.088799999999999</v>
      </c>
      <c r="S128">
        <v>-85.143600000000006</v>
      </c>
    </row>
    <row r="129" spans="1:19" x14ac:dyDescent="0.15">
      <c r="A129">
        <v>127</v>
      </c>
      <c r="B129" t="s">
        <v>187</v>
      </c>
      <c r="C129" t="s">
        <v>55</v>
      </c>
      <c r="D129" t="s">
        <v>19</v>
      </c>
      <c r="E129" t="s">
        <v>110</v>
      </c>
      <c r="F129">
        <v>418046</v>
      </c>
      <c r="G129">
        <v>1444</v>
      </c>
      <c r="H129">
        <v>925</v>
      </c>
      <c r="I129">
        <v>4.7E-2</v>
      </c>
      <c r="J129">
        <v>55698</v>
      </c>
      <c r="K129">
        <v>103.2</v>
      </c>
      <c r="L129">
        <v>93.96</v>
      </c>
      <c r="M129">
        <v>24.2</v>
      </c>
      <c r="N129">
        <v>37</v>
      </c>
      <c r="Q129">
        <v>1.3</v>
      </c>
      <c r="R129">
        <v>38.375599999999999</v>
      </c>
      <c r="S129">
        <v>-75.586500000000001</v>
      </c>
    </row>
    <row r="130" spans="1:19" x14ac:dyDescent="0.15">
      <c r="A130">
        <v>128</v>
      </c>
      <c r="B130" t="s">
        <v>188</v>
      </c>
      <c r="C130" t="s">
        <v>154</v>
      </c>
      <c r="D130" t="s">
        <v>29</v>
      </c>
      <c r="E130" t="s">
        <v>110</v>
      </c>
      <c r="F130">
        <v>416259</v>
      </c>
      <c r="G130">
        <v>1212</v>
      </c>
      <c r="H130">
        <v>826</v>
      </c>
      <c r="I130">
        <v>3.4000000000000002E-2</v>
      </c>
      <c r="J130">
        <v>44488</v>
      </c>
      <c r="K130">
        <v>86.8</v>
      </c>
      <c r="L130">
        <v>89.21</v>
      </c>
      <c r="M130">
        <v>23</v>
      </c>
      <c r="N130">
        <v>42</v>
      </c>
      <c r="Q130">
        <v>1</v>
      </c>
      <c r="R130">
        <v>30.427399999999999</v>
      </c>
      <c r="S130">
        <v>-89.070400000000006</v>
      </c>
    </row>
    <row r="131" spans="1:19" x14ac:dyDescent="0.15">
      <c r="A131">
        <v>129</v>
      </c>
      <c r="B131" t="s">
        <v>189</v>
      </c>
      <c r="C131" t="s">
        <v>46</v>
      </c>
      <c r="D131" t="s">
        <v>26</v>
      </c>
      <c r="E131" t="s">
        <v>110</v>
      </c>
      <c r="F131">
        <v>406211</v>
      </c>
      <c r="G131">
        <v>781</v>
      </c>
      <c r="H131">
        <v>783</v>
      </c>
      <c r="I131">
        <v>5.4000000000000006E-2</v>
      </c>
      <c r="J131">
        <v>49399</v>
      </c>
      <c r="K131">
        <v>85.7</v>
      </c>
      <c r="L131">
        <v>89.16</v>
      </c>
      <c r="M131">
        <v>26.5</v>
      </c>
      <c r="N131">
        <v>40</v>
      </c>
      <c r="Q131">
        <v>1.9</v>
      </c>
      <c r="R131">
        <v>43.023600000000002</v>
      </c>
      <c r="S131">
        <v>-83.692099999999996</v>
      </c>
    </row>
    <row r="132" spans="1:19" x14ac:dyDescent="0.15">
      <c r="A132">
        <v>130</v>
      </c>
      <c r="B132" t="s">
        <v>190</v>
      </c>
      <c r="C132" t="s">
        <v>38</v>
      </c>
      <c r="D132" t="s">
        <v>29</v>
      </c>
      <c r="E132" t="s">
        <v>110</v>
      </c>
      <c r="F132">
        <v>404798</v>
      </c>
      <c r="G132">
        <v>1744</v>
      </c>
      <c r="H132">
        <v>1204</v>
      </c>
      <c r="I132">
        <v>2.5000000000000001E-2</v>
      </c>
      <c r="J132">
        <v>53570</v>
      </c>
      <c r="K132">
        <v>97.3</v>
      </c>
      <c r="L132">
        <v>95.42</v>
      </c>
      <c r="M132">
        <v>24.3</v>
      </c>
      <c r="N132">
        <v>39</v>
      </c>
      <c r="Q132">
        <v>2.5</v>
      </c>
      <c r="R132">
        <v>32.028599999999997</v>
      </c>
      <c r="S132">
        <v>-81.182100000000005</v>
      </c>
    </row>
    <row r="133" spans="1:19" x14ac:dyDescent="0.15">
      <c r="A133">
        <v>131</v>
      </c>
      <c r="B133" t="s">
        <v>191</v>
      </c>
      <c r="C133" t="s">
        <v>25</v>
      </c>
      <c r="D133" t="s">
        <v>26</v>
      </c>
      <c r="E133" t="s">
        <v>110</v>
      </c>
      <c r="F133">
        <v>402391</v>
      </c>
      <c r="G133">
        <v>1107</v>
      </c>
      <c r="H133">
        <v>755</v>
      </c>
      <c r="I133">
        <v>4.2000000000000003E-2</v>
      </c>
      <c r="J133">
        <v>55784</v>
      </c>
      <c r="K133">
        <v>86.7</v>
      </c>
      <c r="L133">
        <v>90.49</v>
      </c>
      <c r="M133">
        <v>20.3</v>
      </c>
      <c r="N133">
        <v>42</v>
      </c>
      <c r="Q133">
        <v>1.7</v>
      </c>
      <c r="R133">
        <v>40.752000000000002</v>
      </c>
      <c r="S133">
        <v>-89.615399999999994</v>
      </c>
    </row>
    <row r="134" spans="1:19" x14ac:dyDescent="0.15">
      <c r="A134">
        <v>132</v>
      </c>
      <c r="B134" t="s">
        <v>192</v>
      </c>
      <c r="C134" t="s">
        <v>70</v>
      </c>
      <c r="D134" t="s">
        <v>26</v>
      </c>
      <c r="E134" t="s">
        <v>110</v>
      </c>
      <c r="F134">
        <v>401574</v>
      </c>
      <c r="G134">
        <v>979</v>
      </c>
      <c r="H134">
        <v>685</v>
      </c>
      <c r="I134">
        <v>3.9E-2</v>
      </c>
      <c r="J134">
        <v>52152</v>
      </c>
      <c r="K134">
        <v>88.2</v>
      </c>
      <c r="L134">
        <v>90.02</v>
      </c>
      <c r="M134">
        <v>22.5</v>
      </c>
      <c r="N134">
        <v>44</v>
      </c>
      <c r="Q134">
        <v>2.4</v>
      </c>
      <c r="R134">
        <v>40.8078</v>
      </c>
      <c r="S134">
        <v>-81.367599999999996</v>
      </c>
    </row>
    <row r="135" spans="1:19" x14ac:dyDescent="0.15">
      <c r="A135">
        <v>133</v>
      </c>
      <c r="B135" t="s">
        <v>193</v>
      </c>
      <c r="C135" t="s">
        <v>194</v>
      </c>
      <c r="D135" t="s">
        <v>23</v>
      </c>
      <c r="E135" t="s">
        <v>110</v>
      </c>
      <c r="F135">
        <v>398328</v>
      </c>
      <c r="G135">
        <v>1546</v>
      </c>
      <c r="H135">
        <v>1096</v>
      </c>
      <c r="I135">
        <v>3.5000000000000003E-2</v>
      </c>
      <c r="J135">
        <v>67085</v>
      </c>
      <c r="K135">
        <v>110.7</v>
      </c>
      <c r="L135">
        <v>106.27</v>
      </c>
      <c r="M135">
        <v>20.8</v>
      </c>
      <c r="N135">
        <v>23</v>
      </c>
      <c r="O135">
        <v>30.9</v>
      </c>
      <c r="P135">
        <v>51.8</v>
      </c>
      <c r="Q135">
        <v>2.9</v>
      </c>
      <c r="R135">
        <v>61.150799999999997</v>
      </c>
      <c r="S135">
        <v>-149.10910000000001</v>
      </c>
    </row>
    <row r="136" spans="1:19" x14ac:dyDescent="0.15">
      <c r="A136">
        <v>134</v>
      </c>
      <c r="B136" t="s">
        <v>195</v>
      </c>
      <c r="C136" t="s">
        <v>28</v>
      </c>
      <c r="D136" t="s">
        <v>29</v>
      </c>
      <c r="E136" t="s">
        <v>110</v>
      </c>
      <c r="F136">
        <v>397565</v>
      </c>
      <c r="G136">
        <v>1331</v>
      </c>
      <c r="H136">
        <v>898</v>
      </c>
      <c r="I136">
        <v>6.3E-2</v>
      </c>
      <c r="J136">
        <v>49006</v>
      </c>
      <c r="K136">
        <v>88.6</v>
      </c>
      <c r="L136">
        <v>93.31</v>
      </c>
      <c r="M136">
        <v>22.6</v>
      </c>
      <c r="N136">
        <v>44</v>
      </c>
      <c r="Q136">
        <v>1.4</v>
      </c>
      <c r="R136">
        <v>30.084900000000001</v>
      </c>
      <c r="S136">
        <v>-94.145099999999999</v>
      </c>
    </row>
    <row r="137" spans="1:19" x14ac:dyDescent="0.15">
      <c r="A137">
        <v>135</v>
      </c>
      <c r="B137" t="s">
        <v>196</v>
      </c>
      <c r="C137" t="s">
        <v>94</v>
      </c>
      <c r="D137" t="s">
        <v>29</v>
      </c>
      <c r="E137" t="s">
        <v>110</v>
      </c>
      <c r="F137">
        <v>393406</v>
      </c>
      <c r="G137">
        <v>1076</v>
      </c>
      <c r="H137">
        <v>939</v>
      </c>
      <c r="I137">
        <v>3.4000000000000002E-2</v>
      </c>
      <c r="J137">
        <v>55198</v>
      </c>
      <c r="K137">
        <v>85.8</v>
      </c>
      <c r="L137">
        <v>90.32</v>
      </c>
      <c r="M137">
        <v>21.1</v>
      </c>
      <c r="N137">
        <v>44</v>
      </c>
      <c r="Q137">
        <v>1.8</v>
      </c>
      <c r="R137">
        <v>32.465299999999999</v>
      </c>
      <c r="S137">
        <v>-93.795500000000004</v>
      </c>
    </row>
    <row r="138" spans="1:19" x14ac:dyDescent="0.15">
      <c r="A138">
        <v>136</v>
      </c>
      <c r="B138" t="s">
        <v>197</v>
      </c>
      <c r="C138" t="s">
        <v>198</v>
      </c>
      <c r="D138" t="s">
        <v>19</v>
      </c>
      <c r="E138" t="s">
        <v>110</v>
      </c>
      <c r="F138">
        <v>387340</v>
      </c>
      <c r="G138">
        <v>2042</v>
      </c>
      <c r="H138">
        <v>1439</v>
      </c>
      <c r="I138">
        <v>2.5000000000000001E-2</v>
      </c>
      <c r="J138">
        <v>77911</v>
      </c>
      <c r="K138">
        <v>104.3</v>
      </c>
      <c r="L138">
        <v>101.89</v>
      </c>
      <c r="M138">
        <v>28.7</v>
      </c>
      <c r="N138">
        <v>42</v>
      </c>
      <c r="Q138">
        <v>4.5999999999999996</v>
      </c>
      <c r="R138">
        <v>40.223700000000001</v>
      </c>
      <c r="S138">
        <v>-74.764099999999999</v>
      </c>
    </row>
    <row r="139" spans="1:19" x14ac:dyDescent="0.15">
      <c r="A139">
        <v>137</v>
      </c>
      <c r="B139" t="s">
        <v>199</v>
      </c>
      <c r="C139" t="s">
        <v>101</v>
      </c>
      <c r="D139" t="s">
        <v>29</v>
      </c>
      <c r="E139" t="s">
        <v>110</v>
      </c>
      <c r="F139">
        <v>386047</v>
      </c>
      <c r="G139">
        <v>1153</v>
      </c>
      <c r="H139">
        <v>882</v>
      </c>
      <c r="I139">
        <v>2.5000000000000001E-2</v>
      </c>
      <c r="J139">
        <v>49310</v>
      </c>
      <c r="K139">
        <v>88.5</v>
      </c>
      <c r="L139">
        <v>88.56</v>
      </c>
      <c r="M139">
        <v>23.5</v>
      </c>
      <c r="N139">
        <v>42</v>
      </c>
      <c r="O139">
        <v>25.8</v>
      </c>
      <c r="P139">
        <v>32.9</v>
      </c>
      <c r="Q139">
        <v>1.3</v>
      </c>
      <c r="R139">
        <v>32.348199999999999</v>
      </c>
      <c r="S139">
        <v>-86.266800000000003</v>
      </c>
    </row>
    <row r="140" spans="1:19" x14ac:dyDescent="0.15">
      <c r="A140">
        <v>138</v>
      </c>
      <c r="B140" t="s">
        <v>200</v>
      </c>
      <c r="C140" t="s">
        <v>139</v>
      </c>
      <c r="D140" t="s">
        <v>26</v>
      </c>
      <c r="E140" t="s">
        <v>110</v>
      </c>
      <c r="F140">
        <v>384324</v>
      </c>
      <c r="G140">
        <v>882</v>
      </c>
      <c r="H140">
        <v>778</v>
      </c>
      <c r="I140">
        <v>3.7000000000000005E-2</v>
      </c>
      <c r="J140">
        <v>56181</v>
      </c>
      <c r="K140">
        <v>87.2</v>
      </c>
      <c r="L140">
        <v>91.36</v>
      </c>
      <c r="M140">
        <v>19.600000000000001</v>
      </c>
      <c r="N140">
        <v>42</v>
      </c>
      <c r="Q140">
        <v>3</v>
      </c>
      <c r="R140">
        <v>41.5565</v>
      </c>
      <c r="S140">
        <v>-90.6053</v>
      </c>
    </row>
    <row r="141" spans="1:19" x14ac:dyDescent="0.15">
      <c r="A141">
        <v>139</v>
      </c>
      <c r="B141" t="s">
        <v>201</v>
      </c>
      <c r="C141" t="s">
        <v>36</v>
      </c>
      <c r="D141" t="s">
        <v>29</v>
      </c>
      <c r="E141" t="s">
        <v>110</v>
      </c>
      <c r="F141">
        <v>384298</v>
      </c>
      <c r="G141">
        <v>1360</v>
      </c>
      <c r="H141">
        <v>1086</v>
      </c>
      <c r="I141">
        <v>2.2000000000000002E-2</v>
      </c>
      <c r="J141">
        <v>52279</v>
      </c>
      <c r="K141">
        <v>96.4</v>
      </c>
      <c r="L141">
        <v>94.97</v>
      </c>
      <c r="M141">
        <v>22.6</v>
      </c>
      <c r="N141">
        <v>43</v>
      </c>
      <c r="Q141">
        <v>2.6</v>
      </c>
      <c r="R141">
        <v>30.455100000000002</v>
      </c>
      <c r="S141">
        <v>-84.252700000000004</v>
      </c>
    </row>
    <row r="142" spans="1:19" x14ac:dyDescent="0.15">
      <c r="A142">
        <v>140</v>
      </c>
      <c r="B142" t="s">
        <v>202</v>
      </c>
      <c r="C142" t="s">
        <v>63</v>
      </c>
      <c r="D142" t="s">
        <v>23</v>
      </c>
      <c r="E142" t="s">
        <v>110</v>
      </c>
      <c r="F142">
        <v>382971</v>
      </c>
      <c r="G142">
        <v>1907</v>
      </c>
      <c r="H142">
        <v>1083</v>
      </c>
      <c r="I142">
        <v>4.9000000000000002E-2</v>
      </c>
      <c r="J142">
        <v>55146</v>
      </c>
      <c r="K142">
        <v>108.4</v>
      </c>
      <c r="L142">
        <v>100.61</v>
      </c>
      <c r="M142">
        <v>20.6</v>
      </c>
      <c r="N142">
        <v>43</v>
      </c>
      <c r="Q142">
        <v>4.2</v>
      </c>
      <c r="R142">
        <v>44.056399999999996</v>
      </c>
      <c r="S142">
        <v>-123.1174</v>
      </c>
    </row>
    <row r="143" spans="1:19" x14ac:dyDescent="0.15">
      <c r="A143">
        <v>141</v>
      </c>
      <c r="B143" t="s">
        <v>203</v>
      </c>
      <c r="C143" t="s">
        <v>36</v>
      </c>
      <c r="D143" t="s">
        <v>29</v>
      </c>
      <c r="E143" t="s">
        <v>110</v>
      </c>
      <c r="F143">
        <v>375908</v>
      </c>
      <c r="G143">
        <v>1602</v>
      </c>
      <c r="H143">
        <v>983</v>
      </c>
      <c r="I143">
        <v>2.7999999999999997E-2</v>
      </c>
      <c r="J143">
        <v>45152</v>
      </c>
      <c r="K143">
        <v>94.5</v>
      </c>
      <c r="L143">
        <v>93.96</v>
      </c>
      <c r="M143">
        <v>25</v>
      </c>
      <c r="N143">
        <v>42</v>
      </c>
      <c r="Q143">
        <v>0.7</v>
      </c>
      <c r="R143">
        <v>29.178000000000001</v>
      </c>
      <c r="S143">
        <v>-82.1511</v>
      </c>
    </row>
    <row r="144" spans="1:19" x14ac:dyDescent="0.15">
      <c r="A144">
        <v>142</v>
      </c>
      <c r="B144" t="s">
        <v>204</v>
      </c>
      <c r="C144" t="s">
        <v>36</v>
      </c>
      <c r="D144" t="s">
        <v>29</v>
      </c>
      <c r="E144" t="s">
        <v>110</v>
      </c>
      <c r="F144">
        <v>375752</v>
      </c>
      <c r="G144">
        <v>3346</v>
      </c>
      <c r="H144">
        <v>1577</v>
      </c>
      <c r="I144">
        <v>2.2000000000000002E-2</v>
      </c>
      <c r="J144">
        <v>117984</v>
      </c>
      <c r="K144">
        <v>109.4</v>
      </c>
      <c r="L144">
        <v>102.19</v>
      </c>
      <c r="M144">
        <v>24.5</v>
      </c>
      <c r="N144">
        <v>38</v>
      </c>
      <c r="Q144">
        <v>1.9</v>
      </c>
      <c r="R144">
        <v>26.150400000000001</v>
      </c>
      <c r="S144">
        <v>-81.793599999999998</v>
      </c>
    </row>
    <row r="145" spans="1:19" x14ac:dyDescent="0.15">
      <c r="A145">
        <v>143</v>
      </c>
      <c r="B145" t="s">
        <v>205</v>
      </c>
      <c r="C145" t="s">
        <v>46</v>
      </c>
      <c r="D145" t="s">
        <v>26</v>
      </c>
      <c r="E145" t="s">
        <v>110</v>
      </c>
      <c r="F145">
        <v>372258</v>
      </c>
      <c r="G145">
        <v>2693</v>
      </c>
      <c r="H145">
        <v>1244</v>
      </c>
      <c r="I145">
        <v>0.03</v>
      </c>
      <c r="J145">
        <v>68688</v>
      </c>
      <c r="K145">
        <v>99.3</v>
      </c>
      <c r="L145">
        <v>99.75</v>
      </c>
      <c r="M145">
        <v>24.2</v>
      </c>
      <c r="N145">
        <v>40</v>
      </c>
      <c r="Q145">
        <v>4.8</v>
      </c>
      <c r="R145">
        <v>42.2759</v>
      </c>
      <c r="S145">
        <v>-83.730999999999995</v>
      </c>
    </row>
    <row r="146" spans="1:19" x14ac:dyDescent="0.15">
      <c r="A146">
        <v>144</v>
      </c>
      <c r="B146" t="s">
        <v>206</v>
      </c>
      <c r="C146" t="s">
        <v>60</v>
      </c>
      <c r="D146" t="s">
        <v>29</v>
      </c>
      <c r="E146" t="s">
        <v>110</v>
      </c>
      <c r="F146">
        <v>365276</v>
      </c>
      <c r="G146">
        <v>1435</v>
      </c>
      <c r="H146">
        <v>692</v>
      </c>
      <c r="I146">
        <v>2.8999999999999998E-2</v>
      </c>
      <c r="J146">
        <v>48529</v>
      </c>
      <c r="K146">
        <v>89.8</v>
      </c>
      <c r="L146">
        <v>89.25</v>
      </c>
      <c r="M146">
        <v>22.6</v>
      </c>
      <c r="N146">
        <v>42</v>
      </c>
      <c r="Q146">
        <v>0.4</v>
      </c>
      <c r="R146">
        <v>35.741</v>
      </c>
      <c r="S146">
        <v>-81.322299999999998</v>
      </c>
    </row>
    <row r="147" spans="1:19" x14ac:dyDescent="0.15">
      <c r="A147">
        <v>145</v>
      </c>
      <c r="B147" t="s">
        <v>207</v>
      </c>
      <c r="C147" t="s">
        <v>208</v>
      </c>
      <c r="D147" t="s">
        <v>29</v>
      </c>
      <c r="E147" t="s">
        <v>110</v>
      </c>
      <c r="F147">
        <v>359862</v>
      </c>
      <c r="G147">
        <v>916</v>
      </c>
      <c r="H147">
        <v>755</v>
      </c>
      <c r="I147">
        <v>3.7999999999999999E-2</v>
      </c>
      <c r="J147">
        <v>47505</v>
      </c>
      <c r="K147">
        <v>84.3</v>
      </c>
      <c r="L147">
        <v>88.54</v>
      </c>
      <c r="M147">
        <v>23.3</v>
      </c>
      <c r="N147">
        <v>41</v>
      </c>
      <c r="Q147">
        <v>1.3</v>
      </c>
      <c r="R147">
        <v>38.410899999999998</v>
      </c>
      <c r="S147">
        <v>-82.4345</v>
      </c>
    </row>
    <row r="148" spans="1:19" x14ac:dyDescent="0.15">
      <c r="A148">
        <v>146</v>
      </c>
      <c r="B148" t="s">
        <v>209</v>
      </c>
      <c r="C148" t="s">
        <v>53</v>
      </c>
      <c r="D148" t="s">
        <v>23</v>
      </c>
      <c r="E148" t="s">
        <v>110</v>
      </c>
      <c r="F148">
        <v>359066</v>
      </c>
      <c r="G148">
        <v>1794</v>
      </c>
      <c r="H148">
        <v>1332</v>
      </c>
      <c r="I148">
        <v>2.4E-2</v>
      </c>
      <c r="J148">
        <v>64258</v>
      </c>
      <c r="K148">
        <v>109.2</v>
      </c>
      <c r="L148">
        <v>97.98</v>
      </c>
      <c r="M148">
        <v>22.9</v>
      </c>
      <c r="N148">
        <v>51</v>
      </c>
      <c r="Q148">
        <v>3</v>
      </c>
      <c r="R148">
        <v>40.547699999999999</v>
      </c>
      <c r="S148">
        <v>-105.0656</v>
      </c>
    </row>
    <row r="149" spans="1:19" x14ac:dyDescent="0.15">
      <c r="A149">
        <v>147</v>
      </c>
      <c r="B149" t="s">
        <v>210</v>
      </c>
      <c r="C149" t="s">
        <v>112</v>
      </c>
      <c r="D149" t="s">
        <v>26</v>
      </c>
      <c r="E149" t="s">
        <v>110</v>
      </c>
      <c r="F149">
        <v>340217</v>
      </c>
      <c r="G149">
        <v>1177</v>
      </c>
      <c r="H149">
        <v>828</v>
      </c>
      <c r="I149">
        <v>2.1000000000000001E-2</v>
      </c>
      <c r="J149">
        <v>56887</v>
      </c>
      <c r="K149">
        <v>94.7</v>
      </c>
      <c r="L149">
        <v>93.05</v>
      </c>
      <c r="M149">
        <v>19.399999999999999</v>
      </c>
      <c r="N149">
        <v>37</v>
      </c>
      <c r="O149">
        <v>44.1</v>
      </c>
      <c r="P149">
        <v>58.5</v>
      </c>
      <c r="Q149">
        <v>3.2</v>
      </c>
      <c r="R149">
        <v>40.809899999999999</v>
      </c>
      <c r="S149">
        <v>-96.678399999999996</v>
      </c>
    </row>
    <row r="150" spans="1:19" x14ac:dyDescent="0.15">
      <c r="A150">
        <v>148</v>
      </c>
      <c r="B150" t="s">
        <v>211</v>
      </c>
      <c r="C150" t="s">
        <v>36</v>
      </c>
      <c r="D150" t="s">
        <v>29</v>
      </c>
      <c r="E150" t="s">
        <v>110</v>
      </c>
      <c r="F150">
        <v>339247</v>
      </c>
      <c r="G150">
        <v>1630</v>
      </c>
      <c r="H150">
        <v>1007</v>
      </c>
      <c r="I150">
        <v>0.02</v>
      </c>
      <c r="J150">
        <v>50623</v>
      </c>
      <c r="K150">
        <v>97.3</v>
      </c>
      <c r="L150">
        <v>95.91</v>
      </c>
      <c r="M150">
        <v>23.2</v>
      </c>
      <c r="N150">
        <v>40</v>
      </c>
      <c r="Q150">
        <v>4</v>
      </c>
      <c r="R150">
        <v>29.680399999999999</v>
      </c>
      <c r="S150">
        <v>-82.3459</v>
      </c>
    </row>
    <row r="151" spans="1:19" x14ac:dyDescent="0.15">
      <c r="A151">
        <v>149</v>
      </c>
      <c r="B151" t="s">
        <v>212</v>
      </c>
      <c r="C151" t="s">
        <v>25</v>
      </c>
      <c r="D151" t="s">
        <v>26</v>
      </c>
      <c r="E151" t="s">
        <v>110</v>
      </c>
      <c r="F151">
        <v>338798</v>
      </c>
      <c r="G151">
        <v>890</v>
      </c>
      <c r="H151">
        <v>758</v>
      </c>
      <c r="I151">
        <v>5.4000000000000006E-2</v>
      </c>
      <c r="J151">
        <v>51140</v>
      </c>
      <c r="K151">
        <v>87.2</v>
      </c>
      <c r="L151">
        <v>93.42</v>
      </c>
      <c r="M151">
        <v>23.2</v>
      </c>
      <c r="N151">
        <v>39</v>
      </c>
      <c r="Q151">
        <v>2.1</v>
      </c>
      <c r="R151">
        <v>42.259599999999999</v>
      </c>
      <c r="S151">
        <v>-89.063999999999993</v>
      </c>
    </row>
    <row r="152" spans="1:19" x14ac:dyDescent="0.15">
      <c r="A152">
        <v>150</v>
      </c>
      <c r="B152" t="s">
        <v>213</v>
      </c>
      <c r="C152" t="s">
        <v>53</v>
      </c>
      <c r="D152" t="s">
        <v>23</v>
      </c>
      <c r="E152" t="s">
        <v>110</v>
      </c>
      <c r="F152">
        <v>330758</v>
      </c>
      <c r="G152">
        <v>2492</v>
      </c>
      <c r="H152">
        <v>1712</v>
      </c>
      <c r="I152">
        <v>2.2000000000000002E-2</v>
      </c>
      <c r="J152">
        <v>89593</v>
      </c>
      <c r="K152">
        <v>118.7</v>
      </c>
      <c r="L152">
        <v>101.32</v>
      </c>
      <c r="M152">
        <v>22.1</v>
      </c>
      <c r="N152">
        <v>48</v>
      </c>
      <c r="Q152">
        <v>5.0999999999999996</v>
      </c>
      <c r="R152">
        <v>40.024799999999999</v>
      </c>
      <c r="S152">
        <v>-105.25239999999999</v>
      </c>
    </row>
    <row r="153" spans="1:19" x14ac:dyDescent="0.15">
      <c r="A153">
        <v>151</v>
      </c>
      <c r="B153" t="s">
        <v>214</v>
      </c>
      <c r="C153" t="s">
        <v>53</v>
      </c>
      <c r="D153" t="s">
        <v>23</v>
      </c>
      <c r="E153" t="s">
        <v>110</v>
      </c>
      <c r="F153">
        <v>328981</v>
      </c>
      <c r="G153">
        <v>1405</v>
      </c>
      <c r="H153">
        <v>1162</v>
      </c>
      <c r="I153">
        <v>0.03</v>
      </c>
      <c r="J153">
        <v>56553</v>
      </c>
      <c r="K153">
        <v>106.1</v>
      </c>
      <c r="L153">
        <v>95.55</v>
      </c>
      <c r="M153">
        <v>27.5</v>
      </c>
      <c r="N153">
        <v>51</v>
      </c>
      <c r="Q153">
        <v>1.4</v>
      </c>
      <c r="R153">
        <v>40.415199999999999</v>
      </c>
      <c r="S153">
        <v>-104.7706</v>
      </c>
    </row>
    <row r="154" spans="1:19" x14ac:dyDescent="0.15">
      <c r="A154">
        <v>152</v>
      </c>
      <c r="B154" t="s">
        <v>72</v>
      </c>
      <c r="C154" t="s">
        <v>38</v>
      </c>
      <c r="D154" t="s">
        <v>29</v>
      </c>
      <c r="E154" t="s">
        <v>110</v>
      </c>
      <c r="F154">
        <v>328883</v>
      </c>
      <c r="G154">
        <v>1150</v>
      </c>
      <c r="H154">
        <v>884</v>
      </c>
      <c r="I154">
        <v>3.3000000000000002E-2</v>
      </c>
      <c r="J154">
        <v>47349</v>
      </c>
      <c r="K154">
        <v>88.5</v>
      </c>
      <c r="L154">
        <v>88.99</v>
      </c>
      <c r="M154">
        <v>22.2</v>
      </c>
      <c r="N154">
        <v>42</v>
      </c>
      <c r="Q154">
        <v>1.6</v>
      </c>
      <c r="R154">
        <v>32.51</v>
      </c>
      <c r="S154">
        <v>-84.877099999999999</v>
      </c>
    </row>
    <row r="155" spans="1:19" x14ac:dyDescent="0.15">
      <c r="A155">
        <v>153</v>
      </c>
      <c r="B155" t="s">
        <v>215</v>
      </c>
      <c r="C155" t="s">
        <v>85</v>
      </c>
      <c r="D155" t="s">
        <v>26</v>
      </c>
      <c r="E155" t="s">
        <v>110</v>
      </c>
      <c r="F155">
        <v>328268</v>
      </c>
      <c r="G155">
        <v>911</v>
      </c>
      <c r="H155">
        <v>804</v>
      </c>
      <c r="I155">
        <v>2.1000000000000001E-2</v>
      </c>
      <c r="J155">
        <v>58240</v>
      </c>
      <c r="K155">
        <v>91.4</v>
      </c>
      <c r="L155">
        <v>92.36</v>
      </c>
      <c r="M155">
        <v>20.7</v>
      </c>
      <c r="N155">
        <v>38</v>
      </c>
      <c r="Q155">
        <v>2.1</v>
      </c>
      <c r="R155">
        <v>44.514800000000001</v>
      </c>
      <c r="S155">
        <v>-87.989500000000007</v>
      </c>
    </row>
    <row r="156" spans="1:19" x14ac:dyDescent="0.15">
      <c r="A156">
        <v>154</v>
      </c>
      <c r="B156" t="s">
        <v>216</v>
      </c>
      <c r="C156" t="s">
        <v>115</v>
      </c>
      <c r="D156" t="s">
        <v>29</v>
      </c>
      <c r="E156" t="s">
        <v>110</v>
      </c>
      <c r="F156">
        <v>327997</v>
      </c>
      <c r="G156">
        <v>1227</v>
      </c>
      <c r="H156">
        <v>922</v>
      </c>
      <c r="I156">
        <v>2.8999999999999998E-2</v>
      </c>
      <c r="J156">
        <v>50596</v>
      </c>
      <c r="K156">
        <v>91</v>
      </c>
      <c r="L156">
        <v>92.67</v>
      </c>
      <c r="M156">
        <v>23.5</v>
      </c>
      <c r="N156">
        <v>43</v>
      </c>
      <c r="Q156">
        <v>0.6</v>
      </c>
      <c r="R156">
        <v>34.944200000000002</v>
      </c>
      <c r="S156">
        <v>-81.9251</v>
      </c>
    </row>
    <row r="157" spans="1:19" x14ac:dyDescent="0.15">
      <c r="A157">
        <v>155</v>
      </c>
      <c r="B157" t="s">
        <v>217</v>
      </c>
      <c r="C157" t="s">
        <v>74</v>
      </c>
      <c r="D157" t="s">
        <v>26</v>
      </c>
      <c r="E157" t="s">
        <v>110</v>
      </c>
      <c r="F157">
        <v>324501</v>
      </c>
      <c r="G157">
        <v>1259</v>
      </c>
      <c r="H157">
        <v>995</v>
      </c>
      <c r="I157">
        <v>3.1E-2</v>
      </c>
      <c r="J157">
        <v>56109</v>
      </c>
      <c r="K157">
        <v>87.2</v>
      </c>
      <c r="L157">
        <v>91.87</v>
      </c>
      <c r="M157">
        <v>22.6</v>
      </c>
      <c r="N157">
        <v>43</v>
      </c>
      <c r="Q157">
        <v>2.5</v>
      </c>
      <c r="R157">
        <v>41.676699999999997</v>
      </c>
      <c r="S157">
        <v>-86.269599999999997</v>
      </c>
    </row>
    <row r="158" spans="1:19" x14ac:dyDescent="0.15">
      <c r="A158">
        <v>156</v>
      </c>
      <c r="B158" t="s">
        <v>218</v>
      </c>
      <c r="C158" t="s">
        <v>28</v>
      </c>
      <c r="D158" t="s">
        <v>29</v>
      </c>
      <c r="E158" t="s">
        <v>110</v>
      </c>
      <c r="F158">
        <v>321368</v>
      </c>
      <c r="G158">
        <v>1306</v>
      </c>
      <c r="H158">
        <v>889</v>
      </c>
      <c r="I158">
        <v>2.8999999999999998E-2</v>
      </c>
      <c r="J158">
        <v>51045</v>
      </c>
      <c r="K158">
        <v>88.8</v>
      </c>
      <c r="L158">
        <v>93.95</v>
      </c>
      <c r="M158">
        <v>17.3</v>
      </c>
      <c r="N158">
        <v>22</v>
      </c>
      <c r="O158">
        <v>39</v>
      </c>
      <c r="P158">
        <v>42.5</v>
      </c>
      <c r="Q158">
        <v>2.5</v>
      </c>
      <c r="R158">
        <v>33.5657</v>
      </c>
      <c r="S158">
        <v>-101.8879</v>
      </c>
    </row>
    <row r="159" spans="1:19" x14ac:dyDescent="0.15">
      <c r="A159">
        <v>157</v>
      </c>
      <c r="B159" t="s">
        <v>219</v>
      </c>
      <c r="C159" t="s">
        <v>78</v>
      </c>
      <c r="D159" t="s">
        <v>29</v>
      </c>
      <c r="E159" t="s">
        <v>110</v>
      </c>
      <c r="F159">
        <v>320535</v>
      </c>
      <c r="G159">
        <v>1385</v>
      </c>
      <c r="H159">
        <v>807</v>
      </c>
      <c r="I159">
        <v>3.6000000000000004E-2</v>
      </c>
      <c r="J159">
        <v>47519</v>
      </c>
      <c r="K159">
        <v>88.7</v>
      </c>
      <c r="L159">
        <v>90.56</v>
      </c>
      <c r="M159">
        <v>24</v>
      </c>
      <c r="N159">
        <v>43</v>
      </c>
      <c r="Q159">
        <v>0.7</v>
      </c>
      <c r="R159">
        <v>36.569200000000002</v>
      </c>
      <c r="S159">
        <v>-87.341300000000004</v>
      </c>
    </row>
    <row r="160" spans="1:19" x14ac:dyDescent="0.15">
      <c r="A160">
        <v>158</v>
      </c>
      <c r="B160" t="s">
        <v>220</v>
      </c>
      <c r="C160" t="s">
        <v>80</v>
      </c>
      <c r="D160" t="s">
        <v>29</v>
      </c>
      <c r="E160" t="s">
        <v>110</v>
      </c>
      <c r="F160">
        <v>315251</v>
      </c>
      <c r="G160">
        <v>1268</v>
      </c>
      <c r="H160">
        <v>854</v>
      </c>
      <c r="I160">
        <v>2.6000000000000002E-2</v>
      </c>
      <c r="J160">
        <v>53939</v>
      </c>
      <c r="K160">
        <v>94.1</v>
      </c>
      <c r="L160">
        <v>93.79</v>
      </c>
      <c r="M160">
        <v>25.9</v>
      </c>
      <c r="N160">
        <v>37</v>
      </c>
      <c r="Q160">
        <v>2</v>
      </c>
      <c r="R160">
        <v>37.278500000000001</v>
      </c>
      <c r="S160">
        <v>-79.958100000000002</v>
      </c>
    </row>
    <row r="161" spans="1:19" x14ac:dyDescent="0.15">
      <c r="A161">
        <v>159</v>
      </c>
      <c r="B161" t="s">
        <v>221</v>
      </c>
      <c r="C161" t="s">
        <v>74</v>
      </c>
      <c r="D161" t="s">
        <v>26</v>
      </c>
      <c r="E161" t="s">
        <v>110</v>
      </c>
      <c r="F161">
        <v>314049</v>
      </c>
      <c r="G161">
        <v>842</v>
      </c>
      <c r="H161">
        <v>825</v>
      </c>
      <c r="I161">
        <v>2.3E-2</v>
      </c>
      <c r="J161">
        <v>56650</v>
      </c>
      <c r="K161">
        <v>87.2</v>
      </c>
      <c r="L161">
        <v>90.29</v>
      </c>
      <c r="M161">
        <v>21.8</v>
      </c>
      <c r="N161">
        <v>44</v>
      </c>
      <c r="Q161">
        <v>1.9</v>
      </c>
      <c r="R161">
        <v>37.988100000000003</v>
      </c>
      <c r="S161">
        <v>-87.534099999999995</v>
      </c>
    </row>
    <row r="162" spans="1:19" x14ac:dyDescent="0.15">
      <c r="A162">
        <v>160</v>
      </c>
      <c r="B162" t="s">
        <v>222</v>
      </c>
      <c r="C162" t="s">
        <v>78</v>
      </c>
      <c r="D162" t="s">
        <v>29</v>
      </c>
      <c r="E162" t="s">
        <v>110</v>
      </c>
      <c r="F162">
        <v>307614</v>
      </c>
      <c r="G162">
        <v>1238</v>
      </c>
      <c r="H162">
        <v>663</v>
      </c>
      <c r="I162">
        <v>3.1E-2</v>
      </c>
      <c r="J162">
        <v>47287</v>
      </c>
      <c r="K162">
        <v>86</v>
      </c>
      <c r="L162">
        <v>85.88</v>
      </c>
      <c r="M162">
        <v>23</v>
      </c>
      <c r="N162">
        <v>40</v>
      </c>
      <c r="Q162">
        <v>0.7</v>
      </c>
      <c r="R162">
        <v>36.522399999999998</v>
      </c>
      <c r="S162">
        <v>-82.545400000000001</v>
      </c>
    </row>
    <row r="163" spans="1:19" x14ac:dyDescent="0.15">
      <c r="A163">
        <v>161</v>
      </c>
      <c r="B163" t="s">
        <v>223</v>
      </c>
      <c r="C163" t="s">
        <v>31</v>
      </c>
      <c r="D163" t="s">
        <v>23</v>
      </c>
      <c r="E163" t="s">
        <v>110</v>
      </c>
      <c r="F163">
        <v>303622</v>
      </c>
      <c r="G163">
        <v>1662</v>
      </c>
      <c r="H163">
        <v>1012</v>
      </c>
      <c r="I163">
        <v>6.2E-2</v>
      </c>
      <c r="J163">
        <v>52082</v>
      </c>
      <c r="K163">
        <v>99.7</v>
      </c>
      <c r="L163">
        <v>100.51</v>
      </c>
      <c r="M163">
        <v>22.3</v>
      </c>
      <c r="N163">
        <v>34</v>
      </c>
      <c r="Q163">
        <v>3.9</v>
      </c>
      <c r="R163">
        <v>46.197800000000001</v>
      </c>
      <c r="S163">
        <v>-119.17319999999999</v>
      </c>
    </row>
    <row r="164" spans="1:19" x14ac:dyDescent="0.15">
      <c r="A164">
        <v>162</v>
      </c>
      <c r="B164" t="s">
        <v>224</v>
      </c>
      <c r="C164" t="s">
        <v>31</v>
      </c>
      <c r="D164" t="s">
        <v>23</v>
      </c>
      <c r="E164" t="s">
        <v>110</v>
      </c>
      <c r="F164">
        <v>294793</v>
      </c>
      <c r="G164">
        <v>1881</v>
      </c>
      <c r="H164">
        <v>1329</v>
      </c>
      <c r="I164">
        <v>4.7E-2</v>
      </c>
      <c r="J164">
        <v>61062</v>
      </c>
      <c r="K164">
        <v>110.9</v>
      </c>
      <c r="L164">
        <v>103.59</v>
      </c>
      <c r="M164">
        <v>24.6</v>
      </c>
      <c r="N164">
        <v>22</v>
      </c>
      <c r="Q164">
        <v>3</v>
      </c>
      <c r="R164">
        <v>47.041699999999999</v>
      </c>
      <c r="S164">
        <v>-122.8959</v>
      </c>
    </row>
    <row r="165" spans="1:19" x14ac:dyDescent="0.15">
      <c r="A165">
        <v>163</v>
      </c>
      <c r="B165" t="s">
        <v>225</v>
      </c>
      <c r="C165" t="s">
        <v>55</v>
      </c>
      <c r="D165" t="s">
        <v>19</v>
      </c>
      <c r="E165" t="s">
        <v>110</v>
      </c>
      <c r="F165">
        <v>293844</v>
      </c>
      <c r="G165">
        <v>1389</v>
      </c>
      <c r="H165">
        <v>866</v>
      </c>
      <c r="I165">
        <v>2.8999999999999998E-2</v>
      </c>
      <c r="J165">
        <v>51102</v>
      </c>
      <c r="K165">
        <v>99.7</v>
      </c>
      <c r="L165">
        <v>95.25</v>
      </c>
      <c r="M165">
        <v>30.7</v>
      </c>
      <c r="N165">
        <v>40</v>
      </c>
      <c r="Q165">
        <v>1</v>
      </c>
      <c r="R165">
        <v>39.640099999999997</v>
      </c>
      <c r="S165">
        <v>-77.721699999999998</v>
      </c>
    </row>
    <row r="166" spans="1:19" x14ac:dyDescent="0.15">
      <c r="A166">
        <v>164</v>
      </c>
      <c r="B166" t="s">
        <v>226</v>
      </c>
      <c r="C166" t="s">
        <v>18</v>
      </c>
      <c r="D166" t="s">
        <v>19</v>
      </c>
      <c r="E166" t="s">
        <v>110</v>
      </c>
      <c r="F166">
        <v>292264</v>
      </c>
      <c r="G166">
        <v>1450</v>
      </c>
      <c r="H166">
        <v>811</v>
      </c>
      <c r="I166">
        <v>3.3000000000000002E-2</v>
      </c>
      <c r="J166">
        <v>52919</v>
      </c>
      <c r="K166">
        <v>94.1</v>
      </c>
      <c r="L166">
        <v>92.77</v>
      </c>
      <c r="M166">
        <v>20.3</v>
      </c>
      <c r="N166">
        <v>18</v>
      </c>
      <c r="Q166">
        <v>2</v>
      </c>
      <c r="R166">
        <v>43.096200000000003</v>
      </c>
      <c r="S166">
        <v>-75.226100000000002</v>
      </c>
    </row>
    <row r="167" spans="1:19" x14ac:dyDescent="0.15">
      <c r="A167">
        <v>165</v>
      </c>
      <c r="B167" t="s">
        <v>227</v>
      </c>
      <c r="C167" t="s">
        <v>49</v>
      </c>
      <c r="D167" t="s">
        <v>26</v>
      </c>
      <c r="E167" t="s">
        <v>110</v>
      </c>
      <c r="F167">
        <v>291638</v>
      </c>
      <c r="G167">
        <v>1607</v>
      </c>
      <c r="H167">
        <v>899</v>
      </c>
      <c r="I167">
        <v>3.6000000000000004E-2</v>
      </c>
      <c r="J167">
        <v>53734</v>
      </c>
      <c r="K167">
        <v>93.2</v>
      </c>
      <c r="L167">
        <v>88.83</v>
      </c>
      <c r="M167">
        <v>20.2</v>
      </c>
      <c r="N167">
        <v>37</v>
      </c>
      <c r="Q167">
        <v>2.1</v>
      </c>
      <c r="R167">
        <v>46.775599999999997</v>
      </c>
      <c r="S167">
        <v>-92.139300000000006</v>
      </c>
    </row>
    <row r="168" spans="1:19" x14ac:dyDescent="0.15">
      <c r="A168">
        <v>166</v>
      </c>
      <c r="B168" t="s">
        <v>228</v>
      </c>
      <c r="C168" t="s">
        <v>36</v>
      </c>
      <c r="D168" t="s">
        <v>29</v>
      </c>
      <c r="E168" t="s">
        <v>110</v>
      </c>
      <c r="F168">
        <v>286973</v>
      </c>
      <c r="G168">
        <v>1829</v>
      </c>
      <c r="H168">
        <v>1220</v>
      </c>
      <c r="I168">
        <v>1.9E-2</v>
      </c>
      <c r="J168">
        <v>64660</v>
      </c>
      <c r="K168">
        <v>104.7</v>
      </c>
      <c r="L168">
        <v>96.9</v>
      </c>
      <c r="M168">
        <v>24.1</v>
      </c>
      <c r="N168">
        <v>39</v>
      </c>
      <c r="Q168">
        <v>0.9</v>
      </c>
      <c r="R168">
        <v>30.747699999999998</v>
      </c>
      <c r="S168">
        <v>-86.578500000000005</v>
      </c>
    </row>
    <row r="169" spans="1:19" x14ac:dyDescent="0.15">
      <c r="A169">
        <v>167</v>
      </c>
      <c r="B169" t="s">
        <v>229</v>
      </c>
      <c r="C169" t="s">
        <v>28</v>
      </c>
      <c r="D169" t="s">
        <v>29</v>
      </c>
      <c r="E169" t="s">
        <v>110</v>
      </c>
      <c r="F169">
        <v>286184</v>
      </c>
      <c r="G169">
        <v>1286</v>
      </c>
      <c r="H169">
        <v>901</v>
      </c>
      <c r="I169">
        <v>0.04</v>
      </c>
      <c r="J169">
        <v>48868</v>
      </c>
      <c r="K169">
        <v>88.5</v>
      </c>
      <c r="L169">
        <v>92.74</v>
      </c>
      <c r="N169">
        <v>37</v>
      </c>
      <c r="Q169">
        <v>0.9</v>
      </c>
      <c r="R169">
        <v>32.519300000000001</v>
      </c>
      <c r="S169">
        <v>-94.762200000000007</v>
      </c>
    </row>
    <row r="170" spans="1:19" x14ac:dyDescent="0.15">
      <c r="A170">
        <v>168</v>
      </c>
      <c r="B170" t="s">
        <v>230</v>
      </c>
      <c r="C170" t="s">
        <v>22</v>
      </c>
      <c r="D170" t="s">
        <v>23</v>
      </c>
      <c r="E170" t="s">
        <v>110</v>
      </c>
      <c r="F170">
        <v>282424</v>
      </c>
      <c r="G170">
        <v>2904</v>
      </c>
      <c r="H170">
        <v>1688</v>
      </c>
      <c r="I170">
        <v>2.4E-2</v>
      </c>
      <c r="J170">
        <v>66617</v>
      </c>
      <c r="K170">
        <v>136.1</v>
      </c>
      <c r="L170">
        <v>108.56</v>
      </c>
      <c r="M170">
        <v>23.1</v>
      </c>
      <c r="N170">
        <v>55</v>
      </c>
      <c r="Q170">
        <v>2.6</v>
      </c>
      <c r="R170">
        <v>35.2669</v>
      </c>
      <c r="S170">
        <v>-120.669</v>
      </c>
    </row>
    <row r="171" spans="1:19" x14ac:dyDescent="0.15">
      <c r="A171">
        <v>169</v>
      </c>
      <c r="B171" t="s">
        <v>231</v>
      </c>
      <c r="C171" t="s">
        <v>22</v>
      </c>
      <c r="D171" t="s">
        <v>23</v>
      </c>
      <c r="E171" t="s">
        <v>110</v>
      </c>
      <c r="F171">
        <v>281202</v>
      </c>
      <c r="G171">
        <v>1830</v>
      </c>
      <c r="H171">
        <v>1093</v>
      </c>
      <c r="I171">
        <v>7.400000000000001E-2</v>
      </c>
      <c r="J171">
        <v>46580</v>
      </c>
      <c r="K171">
        <v>108.2</v>
      </c>
      <c r="L171">
        <v>100.3</v>
      </c>
      <c r="M171">
        <v>27.8</v>
      </c>
      <c r="N171">
        <v>53</v>
      </c>
      <c r="Q171">
        <v>2.4</v>
      </c>
      <c r="R171">
        <v>37.305700000000002</v>
      </c>
      <c r="S171">
        <v>-120.47790000000001</v>
      </c>
    </row>
    <row r="172" spans="1:19" x14ac:dyDescent="0.15">
      <c r="A172">
        <v>170</v>
      </c>
      <c r="B172" t="s">
        <v>232</v>
      </c>
      <c r="C172" t="s">
        <v>28</v>
      </c>
      <c r="D172" t="s">
        <v>29</v>
      </c>
      <c r="E172" t="s">
        <v>110</v>
      </c>
      <c r="F172">
        <v>277547</v>
      </c>
      <c r="G172">
        <v>1538</v>
      </c>
      <c r="H172">
        <v>840</v>
      </c>
      <c r="I172">
        <v>3.2000000000000001E-2</v>
      </c>
      <c r="J172">
        <v>49151</v>
      </c>
      <c r="K172">
        <v>89.5</v>
      </c>
      <c r="L172">
        <v>94.69</v>
      </c>
      <c r="M172">
        <v>20.100000000000001</v>
      </c>
      <c r="N172">
        <v>42</v>
      </c>
      <c r="Q172">
        <v>1.7</v>
      </c>
      <c r="R172">
        <v>31.559899999999999</v>
      </c>
      <c r="S172">
        <v>-97.188199999999995</v>
      </c>
    </row>
    <row r="173" spans="1:19" x14ac:dyDescent="0.15">
      <c r="A173">
        <v>171</v>
      </c>
      <c r="B173" t="s">
        <v>233</v>
      </c>
      <c r="C173" t="s">
        <v>234</v>
      </c>
      <c r="D173" t="s">
        <v>26</v>
      </c>
      <c r="E173" t="s">
        <v>110</v>
      </c>
      <c r="F173">
        <v>276730</v>
      </c>
      <c r="G173">
        <v>1161</v>
      </c>
      <c r="H173">
        <v>837</v>
      </c>
      <c r="I173">
        <v>0.02</v>
      </c>
      <c r="J173">
        <v>71570</v>
      </c>
      <c r="K173">
        <v>92.8</v>
      </c>
      <c r="L173">
        <v>93.04</v>
      </c>
      <c r="M173">
        <v>18.2</v>
      </c>
      <c r="N173">
        <v>37</v>
      </c>
      <c r="Q173">
        <v>2</v>
      </c>
      <c r="R173">
        <v>43.5396</v>
      </c>
      <c r="S173">
        <v>-96.731099999999998</v>
      </c>
    </row>
    <row r="174" spans="1:19" x14ac:dyDescent="0.15">
      <c r="A174">
        <v>172</v>
      </c>
      <c r="B174" t="s">
        <v>235</v>
      </c>
      <c r="C174" t="s">
        <v>139</v>
      </c>
      <c r="D174" t="s">
        <v>26</v>
      </c>
      <c r="E174" t="s">
        <v>110</v>
      </c>
      <c r="F174">
        <v>276520</v>
      </c>
      <c r="G174">
        <v>951</v>
      </c>
      <c r="H174">
        <v>748</v>
      </c>
      <c r="I174">
        <v>3.5000000000000003E-2</v>
      </c>
      <c r="J174">
        <v>59063</v>
      </c>
      <c r="K174">
        <v>88.1</v>
      </c>
      <c r="L174">
        <v>91.84</v>
      </c>
      <c r="M174">
        <v>19.7</v>
      </c>
      <c r="N174">
        <v>42</v>
      </c>
      <c r="Q174">
        <v>2</v>
      </c>
      <c r="R174">
        <v>41.966200000000001</v>
      </c>
      <c r="S174">
        <v>-91.678299999999993</v>
      </c>
    </row>
    <row r="175" spans="1:19" x14ac:dyDescent="0.15">
      <c r="A175">
        <v>173</v>
      </c>
      <c r="B175" t="s">
        <v>236</v>
      </c>
      <c r="C175" t="s">
        <v>31</v>
      </c>
      <c r="D175" t="s">
        <v>23</v>
      </c>
      <c r="E175" t="s">
        <v>110</v>
      </c>
      <c r="F175">
        <v>275611</v>
      </c>
      <c r="G175">
        <v>1821</v>
      </c>
      <c r="H175">
        <v>1479</v>
      </c>
      <c r="I175">
        <v>4.2999999999999997E-2</v>
      </c>
      <c r="J175">
        <v>67845</v>
      </c>
      <c r="K175">
        <v>115</v>
      </c>
      <c r="L175">
        <v>103.69</v>
      </c>
      <c r="M175">
        <v>30.8</v>
      </c>
      <c r="N175">
        <v>19</v>
      </c>
      <c r="Q175">
        <v>2.7</v>
      </c>
      <c r="R175">
        <v>47.543599999999998</v>
      </c>
      <c r="S175">
        <v>-122.71210000000001</v>
      </c>
    </row>
    <row r="176" spans="1:19" x14ac:dyDescent="0.15">
      <c r="A176">
        <v>174</v>
      </c>
      <c r="B176" t="s">
        <v>237</v>
      </c>
      <c r="C176" t="s">
        <v>34</v>
      </c>
      <c r="D176" t="s">
        <v>19</v>
      </c>
      <c r="E176" t="s">
        <v>110</v>
      </c>
      <c r="F176">
        <v>270876</v>
      </c>
      <c r="G176">
        <v>1036</v>
      </c>
      <c r="H176">
        <v>796</v>
      </c>
      <c r="I176">
        <v>4.2000000000000003E-2</v>
      </c>
      <c r="J176">
        <v>52747</v>
      </c>
      <c r="K176">
        <v>91.8</v>
      </c>
      <c r="L176">
        <v>92.19</v>
      </c>
      <c r="M176">
        <v>19.899999999999999</v>
      </c>
      <c r="N176">
        <v>31</v>
      </c>
      <c r="Q176">
        <v>2.9</v>
      </c>
      <c r="R176">
        <v>42.116700000000002</v>
      </c>
      <c r="S176">
        <v>-80.073300000000003</v>
      </c>
    </row>
    <row r="177" spans="1:19" x14ac:dyDescent="0.15">
      <c r="A177">
        <v>175</v>
      </c>
      <c r="B177" t="s">
        <v>238</v>
      </c>
      <c r="C177" t="s">
        <v>22</v>
      </c>
      <c r="D177" t="s">
        <v>23</v>
      </c>
      <c r="E177" t="s">
        <v>110</v>
      </c>
      <c r="F177">
        <v>270861</v>
      </c>
      <c r="G177">
        <v>3350</v>
      </c>
      <c r="H177">
        <v>2602</v>
      </c>
      <c r="I177">
        <v>4.4999999999999998E-2</v>
      </c>
      <c r="J177">
        <v>85554</v>
      </c>
      <c r="K177">
        <v>163.9</v>
      </c>
      <c r="L177">
        <v>109.08</v>
      </c>
      <c r="M177">
        <v>26.8</v>
      </c>
      <c r="N177">
        <v>35</v>
      </c>
      <c r="Q177">
        <v>4.8</v>
      </c>
      <c r="R177">
        <v>36.978900000000003</v>
      </c>
      <c r="S177">
        <v>-122.0346</v>
      </c>
    </row>
    <row r="178" spans="1:19" x14ac:dyDescent="0.15">
      <c r="A178">
        <v>176</v>
      </c>
      <c r="B178" t="s">
        <v>239</v>
      </c>
      <c r="C178" t="s">
        <v>28</v>
      </c>
      <c r="D178" t="s">
        <v>29</v>
      </c>
      <c r="E178" t="s">
        <v>110</v>
      </c>
      <c r="F178">
        <v>268691</v>
      </c>
      <c r="G178">
        <v>1359</v>
      </c>
      <c r="H178">
        <v>847</v>
      </c>
      <c r="I178">
        <v>2.6000000000000002E-2</v>
      </c>
      <c r="J178">
        <v>56248</v>
      </c>
      <c r="K178">
        <v>88.2</v>
      </c>
      <c r="L178">
        <v>93.79</v>
      </c>
      <c r="M178">
        <v>19.100000000000001</v>
      </c>
      <c r="N178">
        <v>47</v>
      </c>
      <c r="Q178">
        <v>1.8</v>
      </c>
      <c r="R178">
        <v>35.198399999999999</v>
      </c>
      <c r="S178">
        <v>-101.83159999999999</v>
      </c>
    </row>
    <row r="179" spans="1:19" x14ac:dyDescent="0.15">
      <c r="A179">
        <v>177</v>
      </c>
      <c r="B179" t="s">
        <v>240</v>
      </c>
      <c r="C179" t="s">
        <v>101</v>
      </c>
      <c r="D179" t="s">
        <v>29</v>
      </c>
      <c r="E179" t="s">
        <v>110</v>
      </c>
      <c r="F179">
        <v>268674</v>
      </c>
      <c r="G179">
        <v>1421</v>
      </c>
      <c r="H179">
        <v>871</v>
      </c>
      <c r="I179">
        <v>2.2000000000000002E-2</v>
      </c>
      <c r="J179">
        <v>43362</v>
      </c>
      <c r="K179">
        <v>91</v>
      </c>
      <c r="L179">
        <v>88.1</v>
      </c>
      <c r="N179">
        <v>37</v>
      </c>
      <c r="Q179">
        <v>0.8</v>
      </c>
      <c r="R179">
        <v>33.2348</v>
      </c>
      <c r="S179">
        <v>-87.526799999999994</v>
      </c>
    </row>
    <row r="180" spans="1:19" x14ac:dyDescent="0.15">
      <c r="A180">
        <v>178</v>
      </c>
      <c r="B180" t="s">
        <v>241</v>
      </c>
      <c r="C180" t="s">
        <v>98</v>
      </c>
      <c r="D180" t="s">
        <v>19</v>
      </c>
      <c r="E180" t="s">
        <v>110</v>
      </c>
      <c r="F180">
        <v>268555</v>
      </c>
      <c r="G180">
        <v>1420</v>
      </c>
      <c r="H180">
        <v>1251</v>
      </c>
      <c r="I180">
        <v>3.2000000000000001E-2</v>
      </c>
      <c r="J180">
        <v>63877</v>
      </c>
      <c r="L180">
        <v>100.03</v>
      </c>
      <c r="M180">
        <v>24.8</v>
      </c>
      <c r="N180">
        <v>37</v>
      </c>
      <c r="Q180">
        <v>1.8</v>
      </c>
      <c r="R180">
        <v>41.549500000000002</v>
      </c>
      <c r="S180">
        <v>-72.088200000000001</v>
      </c>
    </row>
    <row r="181" spans="1:19" x14ac:dyDescent="0.15">
      <c r="A181">
        <v>179</v>
      </c>
      <c r="B181" t="s">
        <v>242</v>
      </c>
      <c r="C181" t="s">
        <v>28</v>
      </c>
      <c r="D181" t="s">
        <v>29</v>
      </c>
      <c r="E181" t="s">
        <v>110</v>
      </c>
      <c r="F181">
        <v>268248</v>
      </c>
      <c r="G181">
        <v>1793</v>
      </c>
      <c r="H181">
        <v>953</v>
      </c>
      <c r="I181">
        <v>2.7999999999999997E-2</v>
      </c>
      <c r="J181">
        <v>47803</v>
      </c>
      <c r="K181">
        <v>92.3</v>
      </c>
      <c r="L181">
        <v>95.12</v>
      </c>
      <c r="M181">
        <v>18.100000000000001</v>
      </c>
      <c r="N181">
        <v>31</v>
      </c>
      <c r="Q181">
        <v>1.4</v>
      </c>
      <c r="R181">
        <v>30.5852</v>
      </c>
      <c r="S181">
        <v>-96.295900000000003</v>
      </c>
    </row>
    <row r="182" spans="1:19" x14ac:dyDescent="0.15">
      <c r="A182">
        <v>180</v>
      </c>
      <c r="B182" t="s">
        <v>243</v>
      </c>
      <c r="C182" t="s">
        <v>28</v>
      </c>
      <c r="D182" t="s">
        <v>29</v>
      </c>
      <c r="E182" t="s">
        <v>110</v>
      </c>
      <c r="F182">
        <v>267114</v>
      </c>
      <c r="G182">
        <v>1283</v>
      </c>
      <c r="H182">
        <v>841</v>
      </c>
      <c r="I182">
        <v>3.7000000000000005E-2</v>
      </c>
      <c r="J182">
        <v>40850</v>
      </c>
      <c r="K182">
        <v>90.1</v>
      </c>
      <c r="L182">
        <v>89.94</v>
      </c>
      <c r="M182">
        <v>21.5</v>
      </c>
      <c r="N182">
        <v>42</v>
      </c>
      <c r="O182">
        <v>36.799999999999997</v>
      </c>
      <c r="P182">
        <v>39.6</v>
      </c>
      <c r="Q182">
        <v>4.0999999999999996</v>
      </c>
      <c r="R182">
        <v>27.5625</v>
      </c>
      <c r="S182">
        <v>-99.487399999999994</v>
      </c>
    </row>
    <row r="183" spans="1:19" x14ac:dyDescent="0.15">
      <c r="A183">
        <v>181</v>
      </c>
      <c r="B183" t="s">
        <v>244</v>
      </c>
      <c r="C183" t="s">
        <v>46</v>
      </c>
      <c r="D183" t="s">
        <v>26</v>
      </c>
      <c r="E183" t="s">
        <v>110</v>
      </c>
      <c r="F183">
        <v>261670</v>
      </c>
      <c r="G183">
        <v>1320</v>
      </c>
      <c r="H183">
        <v>913</v>
      </c>
      <c r="I183">
        <v>3.9E-2</v>
      </c>
      <c r="J183">
        <v>58524</v>
      </c>
      <c r="K183">
        <v>89.3</v>
      </c>
      <c r="L183">
        <v>93.23</v>
      </c>
      <c r="M183">
        <v>20.5</v>
      </c>
      <c r="N183">
        <v>43</v>
      </c>
      <c r="Q183">
        <v>2.1</v>
      </c>
      <c r="R183">
        <v>42.274900000000002</v>
      </c>
      <c r="S183">
        <v>-85.588200000000001</v>
      </c>
    </row>
    <row r="184" spans="1:19" x14ac:dyDescent="0.15">
      <c r="A184">
        <v>182</v>
      </c>
      <c r="B184" t="s">
        <v>245</v>
      </c>
      <c r="C184" t="s">
        <v>80</v>
      </c>
      <c r="D184" t="s">
        <v>29</v>
      </c>
      <c r="E184" t="s">
        <v>110</v>
      </c>
      <c r="F184">
        <v>261593</v>
      </c>
      <c r="G184">
        <v>1260</v>
      </c>
      <c r="H184">
        <v>873</v>
      </c>
      <c r="I184">
        <v>2.8999999999999998E-2</v>
      </c>
      <c r="J184">
        <v>47374</v>
      </c>
      <c r="K184">
        <v>93.6</v>
      </c>
      <c r="L184">
        <v>91.27</v>
      </c>
      <c r="M184">
        <v>23.4</v>
      </c>
      <c r="N184">
        <v>23</v>
      </c>
      <c r="Q184">
        <v>1.2</v>
      </c>
      <c r="R184">
        <v>37.400300000000001</v>
      </c>
      <c r="S184">
        <v>-79.190899999999999</v>
      </c>
    </row>
    <row r="185" spans="1:19" x14ac:dyDescent="0.15">
      <c r="A185">
        <v>183</v>
      </c>
      <c r="B185" t="s">
        <v>130</v>
      </c>
      <c r="C185" t="s">
        <v>208</v>
      </c>
      <c r="D185" t="s">
        <v>29</v>
      </c>
      <c r="E185" t="s">
        <v>110</v>
      </c>
      <c r="F185">
        <v>258859</v>
      </c>
      <c r="G185">
        <v>819</v>
      </c>
      <c r="H185">
        <v>814</v>
      </c>
      <c r="I185">
        <v>3.3000000000000002E-2</v>
      </c>
      <c r="J185">
        <v>51638</v>
      </c>
      <c r="K185">
        <v>83.9</v>
      </c>
      <c r="L185">
        <v>90.69</v>
      </c>
      <c r="M185">
        <v>21.9</v>
      </c>
      <c r="N185">
        <v>41</v>
      </c>
      <c r="Q185">
        <v>1.4</v>
      </c>
      <c r="R185">
        <v>38.348399999999998</v>
      </c>
      <c r="S185">
        <v>-81.632199999999997</v>
      </c>
    </row>
    <row r="186" spans="1:19" x14ac:dyDescent="0.15">
      <c r="A186">
        <v>184</v>
      </c>
      <c r="B186" t="s">
        <v>246</v>
      </c>
      <c r="C186" t="s">
        <v>31</v>
      </c>
      <c r="D186" t="s">
        <v>23</v>
      </c>
      <c r="E186" t="s">
        <v>110</v>
      </c>
      <c r="F186">
        <v>256728</v>
      </c>
      <c r="G186">
        <v>1368</v>
      </c>
      <c r="H186">
        <v>922</v>
      </c>
      <c r="I186">
        <v>8.8000000000000009E-2</v>
      </c>
      <c r="J186">
        <v>50872</v>
      </c>
      <c r="K186">
        <v>97.5</v>
      </c>
      <c r="L186">
        <v>97.72</v>
      </c>
      <c r="M186">
        <v>18.7</v>
      </c>
      <c r="N186">
        <v>29</v>
      </c>
      <c r="Q186">
        <v>2.2999999999999998</v>
      </c>
      <c r="R186">
        <v>46.592300000000002</v>
      </c>
      <c r="S186">
        <v>-120.5496</v>
      </c>
    </row>
    <row r="187" spans="1:19" x14ac:dyDescent="0.15">
      <c r="A187">
        <v>185</v>
      </c>
      <c r="B187" t="s">
        <v>247</v>
      </c>
      <c r="C187" t="s">
        <v>248</v>
      </c>
      <c r="D187" t="s">
        <v>26</v>
      </c>
      <c r="E187" t="s">
        <v>249</v>
      </c>
      <c r="F187">
        <v>249843</v>
      </c>
      <c r="G187">
        <v>1209</v>
      </c>
      <c r="H187">
        <v>794</v>
      </c>
      <c r="I187">
        <v>1.9E-2</v>
      </c>
      <c r="J187">
        <v>62021</v>
      </c>
      <c r="K187">
        <v>91.4</v>
      </c>
      <c r="L187">
        <v>92.58</v>
      </c>
      <c r="M187">
        <v>16.3</v>
      </c>
      <c r="N187">
        <v>37</v>
      </c>
      <c r="Q187">
        <v>3.2</v>
      </c>
      <c r="R187">
        <v>46.865099999999998</v>
      </c>
      <c r="S187">
        <v>-96.8292</v>
      </c>
    </row>
    <row r="188" spans="1:19" x14ac:dyDescent="0.15">
      <c r="A188">
        <v>186</v>
      </c>
      <c r="B188" t="s">
        <v>250</v>
      </c>
      <c r="C188" t="s">
        <v>18</v>
      </c>
      <c r="D188" t="s">
        <v>19</v>
      </c>
      <c r="E188" t="s">
        <v>249</v>
      </c>
      <c r="F188">
        <v>247138</v>
      </c>
      <c r="G188">
        <v>1743</v>
      </c>
      <c r="H188">
        <v>807</v>
      </c>
      <c r="I188">
        <v>3.1E-2</v>
      </c>
      <c r="J188">
        <v>51295</v>
      </c>
      <c r="K188">
        <v>93.3</v>
      </c>
      <c r="L188">
        <v>94.62</v>
      </c>
      <c r="M188">
        <v>19.2</v>
      </c>
      <c r="Q188">
        <v>2.4</v>
      </c>
      <c r="R188">
        <v>42.101399999999998</v>
      </c>
      <c r="S188">
        <v>-75.909300000000002</v>
      </c>
    </row>
    <row r="189" spans="1:19" x14ac:dyDescent="0.15">
      <c r="A189">
        <v>187</v>
      </c>
      <c r="B189" t="s">
        <v>251</v>
      </c>
      <c r="C189" t="s">
        <v>136</v>
      </c>
      <c r="D189" t="s">
        <v>29</v>
      </c>
      <c r="E189" t="s">
        <v>249</v>
      </c>
      <c r="F189">
        <v>244310</v>
      </c>
      <c r="G189">
        <v>1112</v>
      </c>
      <c r="H189">
        <v>648</v>
      </c>
      <c r="I189">
        <v>2.7000000000000003E-2</v>
      </c>
      <c r="J189">
        <v>45134</v>
      </c>
      <c r="K189">
        <v>84.2</v>
      </c>
      <c r="L189">
        <v>88.05</v>
      </c>
      <c r="M189">
        <v>21.8</v>
      </c>
      <c r="N189">
        <v>38</v>
      </c>
      <c r="Q189">
        <v>0.6</v>
      </c>
      <c r="R189">
        <v>35.349499999999999</v>
      </c>
      <c r="S189">
        <v>-94.369500000000002</v>
      </c>
    </row>
    <row r="190" spans="1:19" x14ac:dyDescent="0.15">
      <c r="A190">
        <v>188</v>
      </c>
      <c r="B190" t="s">
        <v>252</v>
      </c>
      <c r="C190" t="s">
        <v>85</v>
      </c>
      <c r="D190" t="s">
        <v>26</v>
      </c>
      <c r="E190" t="s">
        <v>249</v>
      </c>
      <c r="F190">
        <v>243147</v>
      </c>
      <c r="G190">
        <v>1135</v>
      </c>
      <c r="H190">
        <v>797</v>
      </c>
      <c r="I190">
        <v>1.9E-2</v>
      </c>
      <c r="J190">
        <v>58312</v>
      </c>
      <c r="K190">
        <v>90.7</v>
      </c>
      <c r="L190">
        <v>93.46</v>
      </c>
      <c r="M190">
        <v>19.5</v>
      </c>
      <c r="N190">
        <v>38</v>
      </c>
      <c r="Q190">
        <v>1.8</v>
      </c>
      <c r="R190">
        <v>44.277999999999999</v>
      </c>
      <c r="S190">
        <v>-88.389200000000002</v>
      </c>
    </row>
    <row r="191" spans="1:19" x14ac:dyDescent="0.15">
      <c r="A191">
        <v>189</v>
      </c>
      <c r="B191" t="s">
        <v>253</v>
      </c>
      <c r="C191" t="s">
        <v>38</v>
      </c>
      <c r="D191" t="s">
        <v>29</v>
      </c>
      <c r="E191" t="s">
        <v>249</v>
      </c>
      <c r="F191">
        <v>233802</v>
      </c>
      <c r="G191">
        <v>1122</v>
      </c>
      <c r="H191">
        <v>907</v>
      </c>
      <c r="I191">
        <v>0.03</v>
      </c>
      <c r="J191">
        <v>46875</v>
      </c>
      <c r="K191">
        <v>87.2</v>
      </c>
      <c r="L191">
        <v>87.4</v>
      </c>
      <c r="M191">
        <v>23.5</v>
      </c>
      <c r="N191">
        <v>38</v>
      </c>
      <c r="Q191">
        <v>1.5</v>
      </c>
      <c r="R191">
        <v>32.8065</v>
      </c>
      <c r="S191">
        <v>-83.697400000000002</v>
      </c>
    </row>
    <row r="192" spans="1:19" x14ac:dyDescent="0.15">
      <c r="A192">
        <v>190</v>
      </c>
      <c r="B192" t="s">
        <v>254</v>
      </c>
      <c r="C192" t="s">
        <v>28</v>
      </c>
      <c r="D192" t="s">
        <v>29</v>
      </c>
      <c r="E192" t="s">
        <v>249</v>
      </c>
      <c r="F192">
        <v>233479</v>
      </c>
      <c r="G192">
        <v>1493</v>
      </c>
      <c r="H192">
        <v>987</v>
      </c>
      <c r="I192">
        <v>3.3000000000000002E-2</v>
      </c>
      <c r="J192">
        <v>60284</v>
      </c>
      <c r="K192">
        <v>92.8</v>
      </c>
      <c r="L192">
        <v>94.77</v>
      </c>
      <c r="M192">
        <v>23.4</v>
      </c>
      <c r="N192">
        <v>42</v>
      </c>
      <c r="Q192">
        <v>1.1000000000000001</v>
      </c>
      <c r="R192">
        <v>32.318399999999997</v>
      </c>
      <c r="S192">
        <v>-95.306200000000004</v>
      </c>
    </row>
    <row r="193" spans="1:19" x14ac:dyDescent="0.15">
      <c r="A193">
        <v>191</v>
      </c>
      <c r="B193" t="s">
        <v>255</v>
      </c>
      <c r="C193" t="s">
        <v>149</v>
      </c>
      <c r="D193" t="s">
        <v>26</v>
      </c>
      <c r="E193" t="s">
        <v>249</v>
      </c>
      <c r="F193">
        <v>233152</v>
      </c>
      <c r="G193">
        <v>982</v>
      </c>
      <c r="H193">
        <v>734</v>
      </c>
      <c r="I193">
        <v>2.7000000000000003E-2</v>
      </c>
      <c r="J193">
        <v>53655</v>
      </c>
      <c r="K193">
        <v>85.6</v>
      </c>
      <c r="L193">
        <v>89.22</v>
      </c>
      <c r="M193">
        <v>20.5</v>
      </c>
      <c r="N193">
        <v>44</v>
      </c>
      <c r="Q193">
        <v>1.9</v>
      </c>
      <c r="R193">
        <v>39.034599999999998</v>
      </c>
      <c r="S193">
        <v>-95.695499999999996</v>
      </c>
    </row>
    <row r="194" spans="1:19" x14ac:dyDescent="0.15">
      <c r="A194">
        <v>192</v>
      </c>
      <c r="B194" t="s">
        <v>256</v>
      </c>
      <c r="C194" t="s">
        <v>101</v>
      </c>
      <c r="D194" t="s">
        <v>29</v>
      </c>
      <c r="E194" t="s">
        <v>249</v>
      </c>
      <c r="F194">
        <v>231767</v>
      </c>
      <c r="G194">
        <v>1473</v>
      </c>
      <c r="H194">
        <v>1021</v>
      </c>
      <c r="I194">
        <v>2.1000000000000001E-2</v>
      </c>
      <c r="J194">
        <v>54659</v>
      </c>
      <c r="K194">
        <v>96.6</v>
      </c>
      <c r="L194">
        <v>92.09</v>
      </c>
      <c r="N194">
        <v>40</v>
      </c>
      <c r="Q194">
        <v>0.3</v>
      </c>
      <c r="R194">
        <v>30.626300000000001</v>
      </c>
      <c r="S194">
        <v>-87.881600000000006</v>
      </c>
    </row>
    <row r="195" spans="1:19" x14ac:dyDescent="0.15">
      <c r="A195">
        <v>193</v>
      </c>
      <c r="B195" t="s">
        <v>257</v>
      </c>
      <c r="C195" t="s">
        <v>31</v>
      </c>
      <c r="D195" t="s">
        <v>23</v>
      </c>
      <c r="E195" t="s">
        <v>249</v>
      </c>
      <c r="F195">
        <v>226847</v>
      </c>
      <c r="G195">
        <v>1775</v>
      </c>
      <c r="H195">
        <v>1169</v>
      </c>
      <c r="I195">
        <v>0.05</v>
      </c>
      <c r="J195">
        <v>58137</v>
      </c>
      <c r="K195">
        <v>111.6</v>
      </c>
      <c r="L195">
        <v>104.72</v>
      </c>
      <c r="M195">
        <v>22.5</v>
      </c>
      <c r="N195">
        <v>32</v>
      </c>
      <c r="Q195">
        <v>3.5</v>
      </c>
      <c r="R195">
        <v>48.754800000000003</v>
      </c>
      <c r="S195">
        <v>-122.46899999999999</v>
      </c>
    </row>
    <row r="196" spans="1:19" x14ac:dyDescent="0.15">
      <c r="A196">
        <v>194</v>
      </c>
      <c r="B196" t="s">
        <v>102</v>
      </c>
      <c r="C196" t="s">
        <v>49</v>
      </c>
      <c r="D196" t="s">
        <v>26</v>
      </c>
      <c r="E196" t="s">
        <v>249</v>
      </c>
      <c r="F196">
        <v>226329</v>
      </c>
      <c r="G196">
        <v>1472</v>
      </c>
      <c r="H196">
        <v>1069</v>
      </c>
      <c r="I196">
        <v>2.5000000000000001E-2</v>
      </c>
      <c r="J196">
        <v>63052</v>
      </c>
      <c r="K196">
        <v>97.3</v>
      </c>
      <c r="L196">
        <v>91.94</v>
      </c>
      <c r="M196">
        <v>20.2</v>
      </c>
      <c r="N196">
        <v>38</v>
      </c>
      <c r="Q196">
        <v>0.4</v>
      </c>
      <c r="R196">
        <v>44.0154</v>
      </c>
      <c r="S196">
        <v>-92.477999999999994</v>
      </c>
    </row>
    <row r="197" spans="1:19" x14ac:dyDescent="0.15">
      <c r="A197">
        <v>195</v>
      </c>
      <c r="B197" t="s">
        <v>258</v>
      </c>
      <c r="C197" t="s">
        <v>259</v>
      </c>
      <c r="D197" t="s">
        <v>19</v>
      </c>
      <c r="E197" t="s">
        <v>249</v>
      </c>
      <c r="F197">
        <v>225562</v>
      </c>
      <c r="G197">
        <v>1855</v>
      </c>
      <c r="H197">
        <v>1326</v>
      </c>
      <c r="I197">
        <v>0</v>
      </c>
      <c r="J197">
        <v>65083</v>
      </c>
      <c r="K197">
        <v>112.8</v>
      </c>
      <c r="L197">
        <v>102.64</v>
      </c>
      <c r="M197">
        <v>22.5</v>
      </c>
      <c r="N197">
        <v>42</v>
      </c>
      <c r="Q197">
        <v>2.6</v>
      </c>
      <c r="R197">
        <v>44.4876</v>
      </c>
      <c r="S197">
        <v>-73.2316</v>
      </c>
    </row>
    <row r="198" spans="1:19" x14ac:dyDescent="0.15">
      <c r="A198">
        <v>196</v>
      </c>
      <c r="B198" t="s">
        <v>171</v>
      </c>
      <c r="C198" t="s">
        <v>74</v>
      </c>
      <c r="D198" t="s">
        <v>26</v>
      </c>
      <c r="E198" t="s">
        <v>249</v>
      </c>
      <c r="F198">
        <v>223716</v>
      </c>
      <c r="G198">
        <v>1056</v>
      </c>
      <c r="H198">
        <v>975</v>
      </c>
      <c r="I198">
        <v>0.02</v>
      </c>
      <c r="J198">
        <v>46968</v>
      </c>
      <c r="K198">
        <v>88.7</v>
      </c>
      <c r="L198">
        <v>92.53</v>
      </c>
      <c r="M198">
        <v>19.3</v>
      </c>
      <c r="N198">
        <v>38</v>
      </c>
      <c r="Q198">
        <v>3.6</v>
      </c>
      <c r="R198">
        <v>40.399099999999997</v>
      </c>
      <c r="S198">
        <v>-86.859300000000005</v>
      </c>
    </row>
    <row r="199" spans="1:19" x14ac:dyDescent="0.15">
      <c r="A199">
        <v>197</v>
      </c>
      <c r="B199" t="s">
        <v>260</v>
      </c>
      <c r="C199" t="s">
        <v>63</v>
      </c>
      <c r="D199" t="s">
        <v>23</v>
      </c>
      <c r="E199" t="s">
        <v>249</v>
      </c>
      <c r="F199">
        <v>223259</v>
      </c>
      <c r="G199">
        <v>1822</v>
      </c>
      <c r="H199">
        <v>1039</v>
      </c>
      <c r="I199">
        <v>5.0999999999999997E-2</v>
      </c>
      <c r="J199">
        <v>56842</v>
      </c>
      <c r="K199">
        <v>107.5</v>
      </c>
      <c r="L199">
        <v>102.12</v>
      </c>
      <c r="M199">
        <v>18</v>
      </c>
      <c r="N199">
        <v>34</v>
      </c>
      <c r="Q199">
        <v>2.6</v>
      </c>
      <c r="R199">
        <v>42.337200000000003</v>
      </c>
      <c r="S199">
        <v>-122.854</v>
      </c>
    </row>
    <row r="200" spans="1:19" x14ac:dyDescent="0.15">
      <c r="A200">
        <v>198</v>
      </c>
      <c r="B200" t="s">
        <v>261</v>
      </c>
      <c r="C200" t="s">
        <v>25</v>
      </c>
      <c r="D200" t="s">
        <v>26</v>
      </c>
      <c r="E200" t="s">
        <v>249</v>
      </c>
      <c r="F200">
        <v>222538</v>
      </c>
      <c r="G200">
        <v>1010</v>
      </c>
      <c r="H200">
        <v>927</v>
      </c>
      <c r="I200">
        <v>3.2000000000000001E-2</v>
      </c>
      <c r="J200">
        <v>55335</v>
      </c>
      <c r="K200">
        <v>89</v>
      </c>
      <c r="L200">
        <v>93.52</v>
      </c>
      <c r="M200">
        <v>18.600000000000001</v>
      </c>
      <c r="N200">
        <v>40</v>
      </c>
      <c r="Q200">
        <v>4.7</v>
      </c>
      <c r="R200">
        <v>40.114199999999997</v>
      </c>
      <c r="S200">
        <v>-88.273700000000005</v>
      </c>
    </row>
    <row r="201" spans="1:19" x14ac:dyDescent="0.15">
      <c r="A201">
        <v>199</v>
      </c>
      <c r="B201" t="s">
        <v>262</v>
      </c>
      <c r="C201" t="s">
        <v>94</v>
      </c>
      <c r="D201" t="s">
        <v>29</v>
      </c>
      <c r="E201" t="s">
        <v>249</v>
      </c>
      <c r="F201">
        <v>222402</v>
      </c>
      <c r="G201">
        <v>1083</v>
      </c>
      <c r="H201">
        <v>833</v>
      </c>
      <c r="I201">
        <v>0.03</v>
      </c>
      <c r="J201">
        <v>51080</v>
      </c>
      <c r="K201">
        <v>89.4</v>
      </c>
      <c r="L201">
        <v>90.24</v>
      </c>
      <c r="N201">
        <v>44</v>
      </c>
      <c r="Q201">
        <v>0.9</v>
      </c>
      <c r="R201">
        <v>30.201000000000001</v>
      </c>
      <c r="S201">
        <v>-93.211100000000002</v>
      </c>
    </row>
    <row r="202" spans="1:19" x14ac:dyDescent="0.15">
      <c r="A202">
        <v>200</v>
      </c>
      <c r="B202" t="s">
        <v>263</v>
      </c>
      <c r="C202" t="s">
        <v>80</v>
      </c>
      <c r="D202" t="s">
        <v>29</v>
      </c>
      <c r="E202" t="s">
        <v>249</v>
      </c>
      <c r="F202">
        <v>221524</v>
      </c>
      <c r="G202">
        <v>1593</v>
      </c>
      <c r="H202">
        <v>1265</v>
      </c>
      <c r="I202">
        <v>2.4E-2</v>
      </c>
      <c r="J202">
        <v>77070</v>
      </c>
      <c r="K202">
        <v>102.1</v>
      </c>
      <c r="L202">
        <v>100.28</v>
      </c>
      <c r="M202">
        <v>24.3</v>
      </c>
      <c r="N202">
        <v>39</v>
      </c>
      <c r="Q202">
        <v>2.5</v>
      </c>
      <c r="R202">
        <v>38.037500000000001</v>
      </c>
      <c r="S202">
        <v>-78.485500000000002</v>
      </c>
    </row>
    <row r="203" spans="1:19" x14ac:dyDescent="0.15">
      <c r="A203">
        <v>201</v>
      </c>
      <c r="B203" t="s">
        <v>264</v>
      </c>
      <c r="C203" t="s">
        <v>117</v>
      </c>
      <c r="D203" t="s">
        <v>23</v>
      </c>
      <c r="E203" t="s">
        <v>249</v>
      </c>
      <c r="F203">
        <v>219561</v>
      </c>
      <c r="G203">
        <v>1358</v>
      </c>
      <c r="H203">
        <v>821</v>
      </c>
      <c r="I203">
        <v>3.7000000000000005E-2</v>
      </c>
      <c r="J203">
        <v>45045</v>
      </c>
      <c r="K203">
        <v>88.8</v>
      </c>
      <c r="L203">
        <v>86.14</v>
      </c>
      <c r="M203">
        <v>20.399999999999999</v>
      </c>
      <c r="N203">
        <v>54</v>
      </c>
      <c r="Q203">
        <v>1.8</v>
      </c>
      <c r="R203">
        <v>32.326500000000003</v>
      </c>
      <c r="S203">
        <v>-106.7893</v>
      </c>
    </row>
    <row r="204" spans="1:19" x14ac:dyDescent="0.15">
      <c r="A204">
        <v>202</v>
      </c>
      <c r="B204" t="s">
        <v>265</v>
      </c>
      <c r="C204" t="s">
        <v>115</v>
      </c>
      <c r="D204" t="s">
        <v>29</v>
      </c>
      <c r="E204" t="s">
        <v>249</v>
      </c>
      <c r="F204">
        <v>215908</v>
      </c>
      <c r="G204">
        <v>2883</v>
      </c>
      <c r="I204">
        <v>2.7999999999999997E-2</v>
      </c>
      <c r="J204">
        <v>66256</v>
      </c>
      <c r="K204">
        <v>109.4</v>
      </c>
      <c r="L204">
        <v>99.08</v>
      </c>
      <c r="M204">
        <v>24.6</v>
      </c>
      <c r="Q204">
        <v>0</v>
      </c>
      <c r="R204">
        <v>32.189599999999999</v>
      </c>
      <c r="S204">
        <v>-80.749899999999997</v>
      </c>
    </row>
    <row r="205" spans="1:19" x14ac:dyDescent="0.15">
      <c r="A205">
        <v>203</v>
      </c>
      <c r="B205" t="s">
        <v>266</v>
      </c>
      <c r="C205" t="s">
        <v>38</v>
      </c>
      <c r="D205" t="s">
        <v>29</v>
      </c>
      <c r="E205" t="s">
        <v>249</v>
      </c>
      <c r="F205">
        <v>215415</v>
      </c>
      <c r="G205">
        <v>1878</v>
      </c>
      <c r="H205">
        <v>946</v>
      </c>
      <c r="I205">
        <v>2.4E-2</v>
      </c>
      <c r="J205">
        <v>48323</v>
      </c>
      <c r="K205">
        <v>95</v>
      </c>
      <c r="L205">
        <v>94.41</v>
      </c>
      <c r="M205">
        <v>22.7</v>
      </c>
      <c r="N205">
        <v>44</v>
      </c>
      <c r="Q205">
        <v>2.2999999999999998</v>
      </c>
      <c r="R205">
        <v>33.950800000000001</v>
      </c>
      <c r="S205">
        <v>-83.368899999999996</v>
      </c>
    </row>
    <row r="206" spans="1:19" x14ac:dyDescent="0.15">
      <c r="A206">
        <v>204</v>
      </c>
      <c r="B206" t="s">
        <v>267</v>
      </c>
      <c r="C206" t="s">
        <v>42</v>
      </c>
      <c r="D206" t="s">
        <v>23</v>
      </c>
      <c r="E206" t="s">
        <v>249</v>
      </c>
      <c r="F206">
        <v>213267</v>
      </c>
      <c r="G206">
        <v>1716</v>
      </c>
      <c r="H206">
        <v>871</v>
      </c>
      <c r="I206">
        <v>3.9E-2</v>
      </c>
      <c r="J206">
        <v>41331</v>
      </c>
      <c r="K206">
        <v>98.4</v>
      </c>
      <c r="L206">
        <v>89.59</v>
      </c>
      <c r="M206">
        <v>21.8</v>
      </c>
      <c r="N206">
        <v>18</v>
      </c>
      <c r="Q206">
        <v>0.4</v>
      </c>
      <c r="R206">
        <v>34.500599999999999</v>
      </c>
      <c r="S206">
        <v>-114.3113</v>
      </c>
    </row>
    <row r="207" spans="1:19" x14ac:dyDescent="0.15">
      <c r="A207">
        <v>205</v>
      </c>
      <c r="B207" t="s">
        <v>268</v>
      </c>
      <c r="C207" t="s">
        <v>22</v>
      </c>
      <c r="D207" t="s">
        <v>23</v>
      </c>
      <c r="E207" t="s">
        <v>249</v>
      </c>
      <c r="F207">
        <v>211632</v>
      </c>
      <c r="G207">
        <v>1620</v>
      </c>
      <c r="H207">
        <v>1011</v>
      </c>
      <c r="I207">
        <v>0.04</v>
      </c>
      <c r="J207">
        <v>54694</v>
      </c>
      <c r="K207">
        <v>110.5</v>
      </c>
      <c r="L207">
        <v>102.52</v>
      </c>
      <c r="M207">
        <v>20.5</v>
      </c>
      <c r="N207">
        <v>43</v>
      </c>
      <c r="Q207">
        <v>2.9</v>
      </c>
      <c r="R207">
        <v>39.757800000000003</v>
      </c>
      <c r="S207">
        <v>-121.81610000000001</v>
      </c>
    </row>
    <row r="208" spans="1:19" x14ac:dyDescent="0.15">
      <c r="A208">
        <v>206</v>
      </c>
      <c r="B208" t="s">
        <v>128</v>
      </c>
      <c r="C208" t="s">
        <v>57</v>
      </c>
      <c r="D208" t="s">
        <v>26</v>
      </c>
      <c r="E208" t="s">
        <v>249</v>
      </c>
      <c r="F208">
        <v>210864</v>
      </c>
      <c r="G208">
        <v>1181</v>
      </c>
      <c r="H208">
        <v>830</v>
      </c>
      <c r="I208">
        <v>1.7000000000000001E-2</v>
      </c>
      <c r="J208">
        <v>53583</v>
      </c>
      <c r="K208">
        <v>89.8</v>
      </c>
      <c r="L208">
        <v>89.52</v>
      </c>
      <c r="M208">
        <v>17.3</v>
      </c>
      <c r="N208">
        <v>40</v>
      </c>
      <c r="Q208">
        <v>2.5</v>
      </c>
      <c r="R208">
        <v>38.947200000000002</v>
      </c>
      <c r="S208">
        <v>-92.326800000000006</v>
      </c>
    </row>
    <row r="209" spans="1:19" x14ac:dyDescent="0.15">
      <c r="A209">
        <v>207</v>
      </c>
      <c r="B209" t="s">
        <v>141</v>
      </c>
      <c r="C209" t="s">
        <v>25</v>
      </c>
      <c r="D209" t="s">
        <v>26</v>
      </c>
      <c r="E209" t="s">
        <v>249</v>
      </c>
      <c r="F209">
        <v>208640</v>
      </c>
      <c r="G209">
        <v>944</v>
      </c>
      <c r="H209">
        <v>786</v>
      </c>
      <c r="I209">
        <v>3.6000000000000004E-2</v>
      </c>
      <c r="J209">
        <v>57126</v>
      </c>
      <c r="K209">
        <v>87.5</v>
      </c>
      <c r="L209">
        <v>91.86</v>
      </c>
      <c r="M209">
        <v>20.2</v>
      </c>
      <c r="N209">
        <v>40</v>
      </c>
      <c r="Q209">
        <v>2.7</v>
      </c>
      <c r="R209">
        <v>39.770899999999997</v>
      </c>
      <c r="S209">
        <v>-89.653999999999996</v>
      </c>
    </row>
    <row r="210" spans="1:19" x14ac:dyDescent="0.15">
      <c r="A210">
        <v>208</v>
      </c>
      <c r="B210" t="s">
        <v>269</v>
      </c>
      <c r="C210" t="s">
        <v>78</v>
      </c>
      <c r="D210" t="s">
        <v>29</v>
      </c>
      <c r="E210" t="s">
        <v>249</v>
      </c>
      <c r="F210">
        <v>207285</v>
      </c>
      <c r="G210">
        <v>1174</v>
      </c>
      <c r="H210">
        <v>788</v>
      </c>
      <c r="I210">
        <v>0.03</v>
      </c>
      <c r="J210">
        <v>48257</v>
      </c>
      <c r="K210">
        <v>88.1</v>
      </c>
      <c r="L210">
        <v>87.25</v>
      </c>
      <c r="M210">
        <v>21.8</v>
      </c>
      <c r="Q210">
        <v>1.1000000000000001</v>
      </c>
      <c r="R210">
        <v>36.340600000000002</v>
      </c>
      <c r="S210">
        <v>-82.380600000000001</v>
      </c>
    </row>
    <row r="211" spans="1:19" x14ac:dyDescent="0.15">
      <c r="A211">
        <v>209</v>
      </c>
      <c r="B211" t="s">
        <v>270</v>
      </c>
      <c r="C211" t="s">
        <v>94</v>
      </c>
      <c r="D211" t="s">
        <v>29</v>
      </c>
      <c r="E211" t="s">
        <v>249</v>
      </c>
      <c r="F211">
        <v>207137</v>
      </c>
      <c r="G211">
        <v>1208</v>
      </c>
      <c r="H211">
        <v>819</v>
      </c>
      <c r="I211">
        <v>3.2000000000000001E-2</v>
      </c>
      <c r="J211">
        <v>49613</v>
      </c>
      <c r="K211">
        <v>89.9</v>
      </c>
      <c r="L211">
        <v>88.13</v>
      </c>
      <c r="M211">
        <v>24.2</v>
      </c>
      <c r="N211">
        <v>37</v>
      </c>
      <c r="Q211">
        <v>1.1000000000000001</v>
      </c>
      <c r="R211">
        <v>29.58</v>
      </c>
      <c r="S211">
        <v>-90.7059</v>
      </c>
    </row>
    <row r="212" spans="1:19" x14ac:dyDescent="0.15">
      <c r="A212">
        <v>210</v>
      </c>
      <c r="B212" t="s">
        <v>271</v>
      </c>
      <c r="C212" t="s">
        <v>94</v>
      </c>
      <c r="D212" t="s">
        <v>29</v>
      </c>
      <c r="E212" t="s">
        <v>249</v>
      </c>
      <c r="F212">
        <v>207104</v>
      </c>
      <c r="G212">
        <v>1211</v>
      </c>
      <c r="H212">
        <v>711</v>
      </c>
      <c r="I212">
        <v>3.3000000000000002E-2</v>
      </c>
      <c r="J212">
        <v>46859</v>
      </c>
      <c r="K212">
        <v>86.5</v>
      </c>
      <c r="L212">
        <v>86.41</v>
      </c>
      <c r="M212">
        <v>20</v>
      </c>
      <c r="N212">
        <v>38</v>
      </c>
      <c r="Q212">
        <v>1.3</v>
      </c>
      <c r="R212">
        <v>32.518500000000003</v>
      </c>
      <c r="S212">
        <v>-92.077399999999997</v>
      </c>
    </row>
    <row r="213" spans="1:19" x14ac:dyDescent="0.15">
      <c r="A213">
        <v>211</v>
      </c>
      <c r="B213" t="s">
        <v>83</v>
      </c>
      <c r="C213" t="s">
        <v>60</v>
      </c>
      <c r="D213" t="s">
        <v>29</v>
      </c>
      <c r="E213" t="s">
        <v>249</v>
      </c>
      <c r="F213">
        <v>204576</v>
      </c>
      <c r="G213">
        <v>1203</v>
      </c>
      <c r="H213">
        <v>850</v>
      </c>
      <c r="I213">
        <v>3.7000000000000005E-2</v>
      </c>
      <c r="J213">
        <v>50869</v>
      </c>
      <c r="K213">
        <v>91.7</v>
      </c>
      <c r="L213">
        <v>89.7</v>
      </c>
      <c r="M213">
        <v>20.100000000000001</v>
      </c>
      <c r="Q213">
        <v>0.8</v>
      </c>
      <c r="R213">
        <v>34.728900000000003</v>
      </c>
      <c r="S213">
        <v>-77.394099999999995</v>
      </c>
    </row>
    <row r="214" spans="1:19" x14ac:dyDescent="0.15">
      <c r="A214">
        <v>212</v>
      </c>
      <c r="B214" t="s">
        <v>272</v>
      </c>
      <c r="C214" t="s">
        <v>42</v>
      </c>
      <c r="D214" t="s">
        <v>23</v>
      </c>
      <c r="E214" t="s">
        <v>249</v>
      </c>
      <c r="F214">
        <v>203881</v>
      </c>
      <c r="G214">
        <v>1535</v>
      </c>
      <c r="H214">
        <v>892</v>
      </c>
      <c r="I214">
        <v>0.13699999999999998</v>
      </c>
      <c r="J214">
        <v>44299</v>
      </c>
      <c r="K214">
        <v>94.5</v>
      </c>
      <c r="L214">
        <v>89.54</v>
      </c>
      <c r="M214">
        <v>20</v>
      </c>
      <c r="N214">
        <v>46</v>
      </c>
      <c r="Q214">
        <v>2</v>
      </c>
      <c r="R214">
        <v>32.599499999999999</v>
      </c>
      <c r="S214">
        <v>-114.5491</v>
      </c>
    </row>
    <row r="215" spans="1:19" x14ac:dyDescent="0.15">
      <c r="A215">
        <v>213</v>
      </c>
      <c r="B215" t="s">
        <v>211</v>
      </c>
      <c r="C215" t="s">
        <v>38</v>
      </c>
      <c r="D215" t="s">
        <v>29</v>
      </c>
      <c r="E215" t="s">
        <v>249</v>
      </c>
      <c r="F215">
        <v>203136</v>
      </c>
      <c r="G215">
        <v>1666</v>
      </c>
      <c r="H215">
        <v>1128</v>
      </c>
      <c r="I215">
        <v>2.1000000000000001E-2</v>
      </c>
      <c r="J215">
        <v>53920</v>
      </c>
      <c r="K215">
        <v>97</v>
      </c>
      <c r="L215">
        <v>94.04</v>
      </c>
      <c r="N215">
        <v>36</v>
      </c>
      <c r="Q215">
        <v>0.8</v>
      </c>
      <c r="R215">
        <v>34.290199999999999</v>
      </c>
      <c r="S215">
        <v>-83.829400000000007</v>
      </c>
    </row>
    <row r="216" spans="1:19" x14ac:dyDescent="0.15">
      <c r="A216">
        <v>214</v>
      </c>
      <c r="B216" t="s">
        <v>273</v>
      </c>
      <c r="C216" t="s">
        <v>115</v>
      </c>
      <c r="D216" t="s">
        <v>29</v>
      </c>
      <c r="E216" t="s">
        <v>249</v>
      </c>
      <c r="F216">
        <v>199964</v>
      </c>
      <c r="G216">
        <v>1304</v>
      </c>
      <c r="H216">
        <v>747</v>
      </c>
      <c r="I216">
        <v>0.03</v>
      </c>
      <c r="J216">
        <v>50386</v>
      </c>
      <c r="K216">
        <v>87.7</v>
      </c>
      <c r="L216">
        <v>90.62</v>
      </c>
      <c r="M216">
        <v>22.5</v>
      </c>
      <c r="N216">
        <v>39</v>
      </c>
      <c r="Q216">
        <v>0.7</v>
      </c>
      <c r="R216">
        <v>34.177999999999997</v>
      </c>
      <c r="S216">
        <v>-79.7898</v>
      </c>
    </row>
    <row r="217" spans="1:19" x14ac:dyDescent="0.15">
      <c r="A217">
        <v>215</v>
      </c>
      <c r="B217" t="s">
        <v>274</v>
      </c>
      <c r="C217" t="s">
        <v>63</v>
      </c>
      <c r="D217" t="s">
        <v>23</v>
      </c>
      <c r="E217" t="s">
        <v>249</v>
      </c>
      <c r="F217">
        <v>198253</v>
      </c>
      <c r="G217">
        <v>2182</v>
      </c>
      <c r="H217">
        <v>1274</v>
      </c>
      <c r="I217">
        <v>4.8000000000000001E-2</v>
      </c>
      <c r="J217">
        <v>67743</v>
      </c>
      <c r="K217">
        <v>115.9</v>
      </c>
      <c r="L217">
        <v>102.75</v>
      </c>
      <c r="N217">
        <v>13</v>
      </c>
      <c r="Q217">
        <v>2</v>
      </c>
      <c r="R217">
        <v>44.0563</v>
      </c>
      <c r="S217">
        <v>-121.3095</v>
      </c>
    </row>
    <row r="218" spans="1:19" x14ac:dyDescent="0.15">
      <c r="A218">
        <v>216</v>
      </c>
      <c r="B218" t="s">
        <v>275</v>
      </c>
      <c r="C218" t="s">
        <v>85</v>
      </c>
      <c r="D218" t="s">
        <v>26</v>
      </c>
      <c r="E218" t="s">
        <v>249</v>
      </c>
      <c r="F218">
        <v>197727</v>
      </c>
      <c r="G218">
        <v>977</v>
      </c>
      <c r="H218">
        <v>816</v>
      </c>
      <c r="I218">
        <v>2.6000000000000002E-2</v>
      </c>
      <c r="J218">
        <v>56884</v>
      </c>
      <c r="K218">
        <v>90.9</v>
      </c>
      <c r="L218">
        <v>92.18</v>
      </c>
      <c r="M218">
        <v>24.7</v>
      </c>
      <c r="N218">
        <v>40</v>
      </c>
      <c r="Q218">
        <v>2.9</v>
      </c>
      <c r="R218">
        <v>42.727400000000003</v>
      </c>
      <c r="S218">
        <v>-87.813500000000005</v>
      </c>
    </row>
    <row r="219" spans="1:19" x14ac:dyDescent="0.15">
      <c r="A219">
        <v>217</v>
      </c>
      <c r="B219" t="s">
        <v>276</v>
      </c>
      <c r="C219" t="s">
        <v>38</v>
      </c>
      <c r="D219" t="s">
        <v>29</v>
      </c>
      <c r="E219" t="s">
        <v>249</v>
      </c>
      <c r="F219">
        <v>191614</v>
      </c>
      <c r="G219">
        <v>1319</v>
      </c>
      <c r="H219">
        <v>998</v>
      </c>
      <c r="I219">
        <v>2.7999999999999997E-2</v>
      </c>
      <c r="J219">
        <v>48160</v>
      </c>
      <c r="K219">
        <v>90.5</v>
      </c>
      <c r="L219">
        <v>91.99</v>
      </c>
      <c r="M219">
        <v>20.8</v>
      </c>
      <c r="N219">
        <v>33</v>
      </c>
      <c r="Q219">
        <v>0</v>
      </c>
      <c r="R219">
        <v>32.5961</v>
      </c>
      <c r="S219">
        <v>-83.652699999999996</v>
      </c>
    </row>
    <row r="220" spans="1:19" x14ac:dyDescent="0.15">
      <c r="A220">
        <v>218</v>
      </c>
      <c r="B220" t="s">
        <v>277</v>
      </c>
      <c r="C220" t="s">
        <v>46</v>
      </c>
      <c r="D220" t="s">
        <v>26</v>
      </c>
      <c r="E220" t="s">
        <v>249</v>
      </c>
      <c r="F220">
        <v>190124</v>
      </c>
      <c r="G220">
        <v>847</v>
      </c>
      <c r="H220">
        <v>753</v>
      </c>
      <c r="I220">
        <v>5.5E-2</v>
      </c>
      <c r="J220">
        <v>49274</v>
      </c>
      <c r="K220">
        <v>84</v>
      </c>
      <c r="L220">
        <v>91.13</v>
      </c>
      <c r="M220">
        <v>22.4</v>
      </c>
      <c r="Q220">
        <v>1.8</v>
      </c>
      <c r="R220">
        <v>43.419899999999998</v>
      </c>
      <c r="S220">
        <v>-83.950100000000006</v>
      </c>
    </row>
    <row r="221" spans="1:19" x14ac:dyDescent="0.15">
      <c r="A221">
        <v>219</v>
      </c>
      <c r="B221" t="s">
        <v>278</v>
      </c>
      <c r="C221" t="s">
        <v>36</v>
      </c>
      <c r="D221" t="s">
        <v>29</v>
      </c>
      <c r="E221" t="s">
        <v>249</v>
      </c>
      <c r="F221">
        <v>186847</v>
      </c>
      <c r="G221">
        <v>2898</v>
      </c>
      <c r="H221">
        <v>1095</v>
      </c>
      <c r="I221">
        <v>0.03</v>
      </c>
      <c r="J221">
        <v>51677</v>
      </c>
      <c r="K221">
        <v>100.3</v>
      </c>
      <c r="L221">
        <v>96.3</v>
      </c>
      <c r="M221">
        <v>24.2</v>
      </c>
      <c r="Q221">
        <v>0</v>
      </c>
      <c r="R221">
        <v>26.894100000000002</v>
      </c>
      <c r="S221">
        <v>-82.051299999999998</v>
      </c>
    </row>
    <row r="222" spans="1:19" x14ac:dyDescent="0.15">
      <c r="A222">
        <v>220</v>
      </c>
      <c r="B222" t="s">
        <v>279</v>
      </c>
      <c r="C222" t="s">
        <v>74</v>
      </c>
      <c r="D222" t="s">
        <v>26</v>
      </c>
      <c r="E222" t="s">
        <v>249</v>
      </c>
      <c r="F222">
        <v>185031</v>
      </c>
      <c r="G222">
        <v>966</v>
      </c>
      <c r="H222">
        <v>723</v>
      </c>
      <c r="I222">
        <v>2.8999999999999998E-2</v>
      </c>
      <c r="J222">
        <v>45537</v>
      </c>
      <c r="K222">
        <v>84.7</v>
      </c>
      <c r="L222">
        <v>87.39</v>
      </c>
      <c r="M222">
        <v>22.6</v>
      </c>
      <c r="N222">
        <v>41</v>
      </c>
      <c r="Q222">
        <v>1</v>
      </c>
      <c r="R222">
        <v>39.466000000000001</v>
      </c>
      <c r="S222">
        <v>-87.375100000000003</v>
      </c>
    </row>
    <row r="223" spans="1:19" x14ac:dyDescent="0.15">
      <c r="A223">
        <v>221</v>
      </c>
      <c r="B223" t="s">
        <v>280</v>
      </c>
      <c r="C223" t="s">
        <v>281</v>
      </c>
      <c r="D223" t="s">
        <v>23</v>
      </c>
      <c r="E223" t="s">
        <v>249</v>
      </c>
      <c r="F223">
        <v>184167</v>
      </c>
      <c r="G223">
        <v>1466</v>
      </c>
      <c r="H223">
        <v>855</v>
      </c>
      <c r="I223">
        <v>2.1000000000000001E-2</v>
      </c>
      <c r="J223">
        <v>59698</v>
      </c>
      <c r="K223">
        <v>95.7</v>
      </c>
      <c r="L223">
        <v>92.5</v>
      </c>
      <c r="M223">
        <v>18.3</v>
      </c>
      <c r="N223">
        <v>21</v>
      </c>
      <c r="Q223">
        <v>2.4</v>
      </c>
      <c r="R223">
        <v>45.789099999999998</v>
      </c>
      <c r="S223">
        <v>-108.5526</v>
      </c>
    </row>
    <row r="224" spans="1:19" x14ac:dyDescent="0.15">
      <c r="A224">
        <v>222</v>
      </c>
      <c r="B224" t="s">
        <v>282</v>
      </c>
      <c r="C224" t="s">
        <v>22</v>
      </c>
      <c r="D224" t="s">
        <v>23</v>
      </c>
      <c r="E224" t="s">
        <v>249</v>
      </c>
      <c r="F224">
        <v>182155</v>
      </c>
      <c r="G224">
        <v>1445</v>
      </c>
      <c r="H224">
        <v>1081</v>
      </c>
      <c r="I224">
        <v>4.0999999999999995E-2</v>
      </c>
      <c r="J224">
        <v>54972</v>
      </c>
      <c r="K224">
        <v>108.7</v>
      </c>
      <c r="L224">
        <v>99.4</v>
      </c>
      <c r="N224">
        <v>44</v>
      </c>
      <c r="Q224">
        <v>1.8</v>
      </c>
      <c r="R224">
        <v>40.569800000000001</v>
      </c>
      <c r="S224">
        <v>-122.36499999999999</v>
      </c>
    </row>
    <row r="225" spans="1:19" x14ac:dyDescent="0.15">
      <c r="A225">
        <v>223</v>
      </c>
      <c r="B225" t="s">
        <v>283</v>
      </c>
      <c r="C225" t="s">
        <v>284</v>
      </c>
      <c r="D225" t="s">
        <v>19</v>
      </c>
      <c r="E225" t="s">
        <v>249</v>
      </c>
      <c r="F225">
        <v>181851</v>
      </c>
      <c r="G225">
        <v>1507</v>
      </c>
      <c r="H225">
        <v>1055</v>
      </c>
      <c r="I225">
        <v>4.5999999999999999E-2</v>
      </c>
      <c r="J225">
        <v>50432</v>
      </c>
      <c r="K225">
        <v>101.3</v>
      </c>
      <c r="L225">
        <v>95.9</v>
      </c>
      <c r="M225">
        <v>27</v>
      </c>
      <c r="N225">
        <v>37</v>
      </c>
      <c r="Q225">
        <v>2</v>
      </c>
      <c r="R225">
        <v>39.161000000000001</v>
      </c>
      <c r="S225">
        <v>-75.520200000000003</v>
      </c>
    </row>
    <row r="226" spans="1:19" x14ac:dyDescent="0.15">
      <c r="A226">
        <v>224</v>
      </c>
      <c r="B226" t="s">
        <v>285</v>
      </c>
      <c r="C226" t="s">
        <v>18</v>
      </c>
      <c r="D226" t="s">
        <v>19</v>
      </c>
      <c r="E226" t="s">
        <v>249</v>
      </c>
      <c r="F226">
        <v>181851</v>
      </c>
      <c r="G226">
        <v>1662</v>
      </c>
      <c r="H226">
        <v>1245</v>
      </c>
      <c r="I226">
        <v>2.6000000000000002E-2</v>
      </c>
      <c r="J226">
        <v>60557</v>
      </c>
      <c r="K226">
        <v>106.1</v>
      </c>
      <c r="L226">
        <v>100.09</v>
      </c>
      <c r="M226">
        <v>28.8</v>
      </c>
      <c r="Q226">
        <v>0.9</v>
      </c>
      <c r="R226">
        <v>41.929499999999997</v>
      </c>
      <c r="S226">
        <v>-73.996799999999993</v>
      </c>
    </row>
    <row r="227" spans="1:19" x14ac:dyDescent="0.15">
      <c r="A227">
        <v>225</v>
      </c>
      <c r="B227" t="s">
        <v>286</v>
      </c>
      <c r="C227" t="s">
        <v>57</v>
      </c>
      <c r="D227" t="s">
        <v>26</v>
      </c>
      <c r="E227" t="s">
        <v>249</v>
      </c>
      <c r="F227">
        <v>181409</v>
      </c>
      <c r="G227">
        <v>1058</v>
      </c>
      <c r="H227">
        <v>688</v>
      </c>
      <c r="I227">
        <v>2.1000000000000001E-2</v>
      </c>
      <c r="J227">
        <v>44292</v>
      </c>
      <c r="K227">
        <v>85.2</v>
      </c>
      <c r="L227">
        <v>88</v>
      </c>
      <c r="M227">
        <v>17.7</v>
      </c>
      <c r="N227">
        <v>40</v>
      </c>
      <c r="Q227">
        <v>0.5</v>
      </c>
      <c r="R227">
        <v>37.075699999999998</v>
      </c>
      <c r="S227">
        <v>-94.501800000000003</v>
      </c>
    </row>
    <row r="228" spans="1:19" x14ac:dyDescent="0.15">
      <c r="A228">
        <v>226</v>
      </c>
      <c r="B228" t="s">
        <v>287</v>
      </c>
      <c r="C228" t="s">
        <v>22</v>
      </c>
      <c r="D228" t="s">
        <v>23</v>
      </c>
      <c r="E228" t="s">
        <v>249</v>
      </c>
      <c r="F228">
        <v>181208</v>
      </c>
      <c r="G228">
        <v>1966</v>
      </c>
      <c r="H228">
        <v>1078</v>
      </c>
      <c r="I228">
        <v>6.3E-2</v>
      </c>
      <c r="J228">
        <v>51174</v>
      </c>
      <c r="K228">
        <v>108.7</v>
      </c>
      <c r="L228">
        <v>101.54</v>
      </c>
      <c r="M228">
        <v>29.1</v>
      </c>
      <c r="N228">
        <v>46</v>
      </c>
      <c r="Q228">
        <v>2.5</v>
      </c>
      <c r="R228">
        <v>39.1357</v>
      </c>
      <c r="S228">
        <v>-121.6383</v>
      </c>
    </row>
    <row r="229" spans="1:19" x14ac:dyDescent="0.15">
      <c r="A229">
        <v>227</v>
      </c>
      <c r="B229" t="s">
        <v>153</v>
      </c>
      <c r="C229" t="s">
        <v>78</v>
      </c>
      <c r="D229" t="s">
        <v>29</v>
      </c>
      <c r="E229" t="s">
        <v>249</v>
      </c>
      <c r="F229">
        <v>180504</v>
      </c>
      <c r="G229">
        <v>1424</v>
      </c>
      <c r="H229">
        <v>757</v>
      </c>
      <c r="I229">
        <v>2.8999999999999998E-2</v>
      </c>
      <c r="J229">
        <v>48718</v>
      </c>
      <c r="K229">
        <v>85.2</v>
      </c>
      <c r="L229">
        <v>85.48</v>
      </c>
      <c r="N229">
        <v>30</v>
      </c>
      <c r="Q229">
        <v>1.4</v>
      </c>
      <c r="R229">
        <v>35.653799999999997</v>
      </c>
      <c r="S229">
        <v>-88.835400000000007</v>
      </c>
    </row>
    <row r="230" spans="1:19" x14ac:dyDescent="0.15">
      <c r="A230">
        <v>228</v>
      </c>
      <c r="B230" t="s">
        <v>288</v>
      </c>
      <c r="C230" t="s">
        <v>92</v>
      </c>
      <c r="D230" t="s">
        <v>29</v>
      </c>
      <c r="E230" t="s">
        <v>249</v>
      </c>
      <c r="F230">
        <v>179639</v>
      </c>
      <c r="G230">
        <v>1325</v>
      </c>
      <c r="H230">
        <v>854</v>
      </c>
      <c r="I230">
        <v>3.2000000000000001E-2</v>
      </c>
      <c r="J230">
        <v>43282</v>
      </c>
      <c r="K230">
        <v>87</v>
      </c>
      <c r="L230">
        <v>88.44</v>
      </c>
      <c r="M230">
        <v>22.2</v>
      </c>
      <c r="N230">
        <v>42</v>
      </c>
      <c r="Q230">
        <v>0.9</v>
      </c>
      <c r="R230">
        <v>36.971600000000002</v>
      </c>
      <c r="S230">
        <v>-86.437799999999996</v>
      </c>
    </row>
    <row r="231" spans="1:19" x14ac:dyDescent="0.15">
      <c r="A231">
        <v>229</v>
      </c>
      <c r="B231" t="s">
        <v>289</v>
      </c>
      <c r="C231" t="s">
        <v>28</v>
      </c>
      <c r="D231" t="s">
        <v>29</v>
      </c>
      <c r="E231" t="s">
        <v>249</v>
      </c>
      <c r="F231">
        <v>176579</v>
      </c>
      <c r="G231">
        <v>992</v>
      </c>
      <c r="H231">
        <v>808</v>
      </c>
      <c r="I231">
        <v>3.2000000000000001E-2</v>
      </c>
      <c r="J231">
        <v>55556</v>
      </c>
      <c r="K231">
        <v>89.1</v>
      </c>
      <c r="L231">
        <v>92.03</v>
      </c>
      <c r="M231">
        <v>19.100000000000001</v>
      </c>
      <c r="Q231">
        <v>1.6</v>
      </c>
      <c r="R231">
        <v>32.454300000000003</v>
      </c>
      <c r="S231">
        <v>-99.738399999999999</v>
      </c>
    </row>
    <row r="232" spans="1:19" x14ac:dyDescent="0.15">
      <c r="A232">
        <v>230</v>
      </c>
      <c r="B232" t="s">
        <v>290</v>
      </c>
      <c r="C232" t="s">
        <v>46</v>
      </c>
      <c r="D232" t="s">
        <v>26</v>
      </c>
      <c r="E232" t="s">
        <v>249</v>
      </c>
      <c r="F232">
        <v>175824</v>
      </c>
      <c r="G232">
        <v>1013</v>
      </c>
      <c r="H232">
        <v>811</v>
      </c>
      <c r="I232">
        <v>0.05</v>
      </c>
      <c r="J232">
        <v>46701</v>
      </c>
      <c r="K232">
        <v>87.7</v>
      </c>
      <c r="L232">
        <v>92.11</v>
      </c>
      <c r="M232">
        <v>21.3</v>
      </c>
      <c r="N232">
        <v>39</v>
      </c>
      <c r="Q232">
        <v>1.4</v>
      </c>
      <c r="R232">
        <v>43.228099999999998</v>
      </c>
      <c r="S232">
        <v>-86.256200000000007</v>
      </c>
    </row>
    <row r="233" spans="1:19" x14ac:dyDescent="0.15">
      <c r="A233">
        <v>231</v>
      </c>
      <c r="B233" t="s">
        <v>291</v>
      </c>
      <c r="C233" t="s">
        <v>139</v>
      </c>
      <c r="D233" t="s">
        <v>26</v>
      </c>
      <c r="E233" t="s">
        <v>249</v>
      </c>
      <c r="F233">
        <v>175419</v>
      </c>
      <c r="G233">
        <v>1218</v>
      </c>
      <c r="H233">
        <v>996</v>
      </c>
      <c r="I233">
        <v>2.3E-2</v>
      </c>
      <c r="J233">
        <v>60316</v>
      </c>
      <c r="K233">
        <v>93.5</v>
      </c>
      <c r="L233">
        <v>92.82</v>
      </c>
      <c r="M233">
        <v>19.3</v>
      </c>
      <c r="N233">
        <v>31</v>
      </c>
      <c r="Q233">
        <v>3</v>
      </c>
      <c r="R233">
        <v>41.655900000000003</v>
      </c>
      <c r="S233">
        <v>-91.530299999999997</v>
      </c>
    </row>
    <row r="234" spans="1:19" x14ac:dyDescent="0.15">
      <c r="A234">
        <v>232</v>
      </c>
      <c r="B234" t="s">
        <v>292</v>
      </c>
      <c r="C234" t="s">
        <v>28</v>
      </c>
      <c r="D234" t="s">
        <v>29</v>
      </c>
      <c r="E234" t="s">
        <v>249</v>
      </c>
      <c r="F234">
        <v>175220</v>
      </c>
      <c r="G234">
        <v>1349</v>
      </c>
      <c r="H234">
        <v>1233</v>
      </c>
      <c r="I234">
        <v>2.6000000000000002E-2</v>
      </c>
      <c r="J234">
        <v>125455</v>
      </c>
      <c r="K234">
        <v>97.8</v>
      </c>
      <c r="L234">
        <v>97.86</v>
      </c>
      <c r="M234">
        <v>18.100000000000001</v>
      </c>
      <c r="Q234">
        <v>2.1</v>
      </c>
      <c r="R234">
        <v>32.024299999999997</v>
      </c>
      <c r="S234">
        <v>-102.1147</v>
      </c>
    </row>
    <row r="235" spans="1:19" x14ac:dyDescent="0.15">
      <c r="A235">
        <v>233</v>
      </c>
      <c r="B235" t="s">
        <v>293</v>
      </c>
      <c r="C235" t="s">
        <v>36</v>
      </c>
      <c r="D235" t="s">
        <v>29</v>
      </c>
      <c r="E235" t="s">
        <v>249</v>
      </c>
      <c r="F235">
        <v>175216</v>
      </c>
      <c r="G235">
        <v>1687</v>
      </c>
      <c r="H235">
        <v>1216</v>
      </c>
      <c r="I235">
        <v>2.1000000000000001E-2</v>
      </c>
      <c r="J235">
        <v>53980</v>
      </c>
      <c r="K235">
        <v>101.9</v>
      </c>
      <c r="L235">
        <v>96.82</v>
      </c>
      <c r="M235">
        <v>22.5</v>
      </c>
      <c r="N235">
        <v>42</v>
      </c>
      <c r="Q235">
        <v>1.5</v>
      </c>
      <c r="R235">
        <v>30.1995</v>
      </c>
      <c r="S235">
        <v>-85.600300000000004</v>
      </c>
    </row>
    <row r="236" spans="1:19" x14ac:dyDescent="0.15">
      <c r="A236">
        <v>234</v>
      </c>
      <c r="B236" t="s">
        <v>294</v>
      </c>
      <c r="C236" t="s">
        <v>101</v>
      </c>
      <c r="D236" t="s">
        <v>29</v>
      </c>
      <c r="E236" t="s">
        <v>249</v>
      </c>
      <c r="F236">
        <v>174241</v>
      </c>
      <c r="G236">
        <v>1462</v>
      </c>
      <c r="H236">
        <v>821</v>
      </c>
      <c r="I236">
        <v>0.02</v>
      </c>
      <c r="J236">
        <v>45002</v>
      </c>
      <c r="K236">
        <v>91.9</v>
      </c>
      <c r="L236">
        <v>89.69</v>
      </c>
      <c r="M236">
        <v>23.8</v>
      </c>
      <c r="Q236">
        <v>0</v>
      </c>
      <c r="R236">
        <v>32.608699999999999</v>
      </c>
      <c r="S236">
        <v>-85.490300000000005</v>
      </c>
    </row>
    <row r="237" spans="1:19" x14ac:dyDescent="0.15">
      <c r="A237">
        <v>235</v>
      </c>
      <c r="B237" t="s">
        <v>295</v>
      </c>
      <c r="C237" t="s">
        <v>154</v>
      </c>
      <c r="D237" t="s">
        <v>29</v>
      </c>
      <c r="E237" t="s">
        <v>249</v>
      </c>
      <c r="F237">
        <v>172231</v>
      </c>
      <c r="G237">
        <v>1293</v>
      </c>
      <c r="H237">
        <v>849</v>
      </c>
      <c r="I237">
        <v>0.03</v>
      </c>
      <c r="J237">
        <v>44538</v>
      </c>
      <c r="K237">
        <v>86.1</v>
      </c>
      <c r="L237">
        <v>88.61</v>
      </c>
      <c r="M237">
        <v>26.8</v>
      </c>
      <c r="N237">
        <v>37</v>
      </c>
      <c r="Q237">
        <v>0.8</v>
      </c>
      <c r="R237">
        <v>31.307400000000001</v>
      </c>
      <c r="S237">
        <v>-89.316999999999993</v>
      </c>
    </row>
    <row r="238" spans="1:19" x14ac:dyDescent="0.15">
      <c r="A238">
        <v>236</v>
      </c>
      <c r="B238" t="s">
        <v>296</v>
      </c>
      <c r="C238" t="s">
        <v>85</v>
      </c>
      <c r="D238" t="s">
        <v>26</v>
      </c>
      <c r="E238" t="s">
        <v>249</v>
      </c>
      <c r="F238">
        <v>172007</v>
      </c>
      <c r="G238">
        <v>1053</v>
      </c>
      <c r="H238">
        <v>760</v>
      </c>
      <c r="I238">
        <v>2.5000000000000001E-2</v>
      </c>
      <c r="J238">
        <v>54814</v>
      </c>
      <c r="K238">
        <v>91.8</v>
      </c>
      <c r="L238">
        <v>91.92</v>
      </c>
      <c r="M238">
        <v>19.399999999999999</v>
      </c>
      <c r="N238">
        <v>37</v>
      </c>
      <c r="Q238">
        <v>1.7</v>
      </c>
      <c r="R238">
        <v>44.819699999999997</v>
      </c>
      <c r="S238">
        <v>-91.494799999999998</v>
      </c>
    </row>
    <row r="239" spans="1:19" x14ac:dyDescent="0.15">
      <c r="A239">
        <v>237</v>
      </c>
      <c r="B239" t="s">
        <v>297</v>
      </c>
      <c r="C239" t="s">
        <v>85</v>
      </c>
      <c r="D239" t="s">
        <v>26</v>
      </c>
      <c r="E239" t="s">
        <v>249</v>
      </c>
      <c r="F239">
        <v>171730</v>
      </c>
      <c r="G239">
        <v>917</v>
      </c>
      <c r="H239">
        <v>799</v>
      </c>
      <c r="I239">
        <v>1.9E-2</v>
      </c>
      <c r="J239">
        <v>55202</v>
      </c>
      <c r="K239">
        <v>89</v>
      </c>
      <c r="L239">
        <v>92.56</v>
      </c>
      <c r="M239">
        <v>19</v>
      </c>
      <c r="Q239">
        <v>2.7</v>
      </c>
      <c r="R239">
        <v>44.0227</v>
      </c>
      <c r="S239">
        <v>-88.561899999999994</v>
      </c>
    </row>
    <row r="240" spans="1:19" x14ac:dyDescent="0.15">
      <c r="A240">
        <v>238</v>
      </c>
      <c r="B240" t="s">
        <v>258</v>
      </c>
      <c r="C240" t="s">
        <v>60</v>
      </c>
      <c r="D240" t="s">
        <v>29</v>
      </c>
      <c r="E240" t="s">
        <v>249</v>
      </c>
      <c r="F240">
        <v>171415</v>
      </c>
      <c r="G240">
        <v>1470</v>
      </c>
      <c r="H240">
        <v>888</v>
      </c>
      <c r="I240">
        <v>3.2000000000000001E-2</v>
      </c>
      <c r="J240">
        <v>48118</v>
      </c>
      <c r="K240">
        <v>91.8</v>
      </c>
      <c r="L240">
        <v>89.56</v>
      </c>
      <c r="M240">
        <v>23.7</v>
      </c>
      <c r="Q240">
        <v>0.3</v>
      </c>
      <c r="R240">
        <v>36.076000000000001</v>
      </c>
      <c r="S240">
        <v>-79.468500000000006</v>
      </c>
    </row>
    <row r="241" spans="1:19" x14ac:dyDescent="0.15">
      <c r="A241">
        <v>239</v>
      </c>
      <c r="B241" t="s">
        <v>298</v>
      </c>
      <c r="C241" t="s">
        <v>299</v>
      </c>
      <c r="D241" t="s">
        <v>23</v>
      </c>
      <c r="E241" t="s">
        <v>249</v>
      </c>
      <c r="F241">
        <v>171362</v>
      </c>
      <c r="G241">
        <v>1866</v>
      </c>
      <c r="H241">
        <v>1075</v>
      </c>
      <c r="I241">
        <v>3.2000000000000001E-2</v>
      </c>
      <c r="J241">
        <v>54406</v>
      </c>
      <c r="K241">
        <v>103.3</v>
      </c>
      <c r="L241">
        <v>93.77</v>
      </c>
      <c r="M241">
        <v>22.3</v>
      </c>
      <c r="N241">
        <v>10</v>
      </c>
      <c r="Q241">
        <v>1.1000000000000001</v>
      </c>
      <c r="R241">
        <v>47.704000000000001</v>
      </c>
      <c r="S241">
        <v>-116.7936</v>
      </c>
    </row>
    <row r="242" spans="1:19" x14ac:dyDescent="0.15">
      <c r="A242">
        <v>240</v>
      </c>
      <c r="B242" t="s">
        <v>300</v>
      </c>
      <c r="C242" t="s">
        <v>25</v>
      </c>
      <c r="D242" t="s">
        <v>26</v>
      </c>
      <c r="E242" t="s">
        <v>249</v>
      </c>
      <c r="F242">
        <v>170954</v>
      </c>
      <c r="G242">
        <v>1225</v>
      </c>
      <c r="H242">
        <v>852</v>
      </c>
      <c r="I242">
        <v>3.1E-2</v>
      </c>
      <c r="J242">
        <v>58503</v>
      </c>
      <c r="K242">
        <v>89</v>
      </c>
      <c r="L242">
        <v>93.08</v>
      </c>
      <c r="M242">
        <v>18.399999999999999</v>
      </c>
      <c r="N242">
        <v>42</v>
      </c>
      <c r="Q242">
        <v>3.4</v>
      </c>
      <c r="R242">
        <v>40.475700000000003</v>
      </c>
      <c r="S242">
        <v>-88.970299999999995</v>
      </c>
    </row>
    <row r="243" spans="1:19" x14ac:dyDescent="0.15">
      <c r="A243">
        <v>241</v>
      </c>
      <c r="B243" t="s">
        <v>114</v>
      </c>
      <c r="C243" t="s">
        <v>60</v>
      </c>
      <c r="D243" t="s">
        <v>29</v>
      </c>
      <c r="E243" t="s">
        <v>249</v>
      </c>
      <c r="F243">
        <v>170243</v>
      </c>
      <c r="G243">
        <v>1450</v>
      </c>
      <c r="H243">
        <v>872</v>
      </c>
      <c r="I243">
        <v>3.5000000000000003E-2</v>
      </c>
      <c r="J243">
        <v>53200</v>
      </c>
      <c r="K243">
        <v>89.8</v>
      </c>
      <c r="L243">
        <v>89.62</v>
      </c>
      <c r="M243">
        <v>20.7</v>
      </c>
      <c r="N243">
        <v>37</v>
      </c>
      <c r="Q243">
        <v>1.3</v>
      </c>
      <c r="R243">
        <v>35.594299999999997</v>
      </c>
      <c r="S243">
        <v>-77.376000000000005</v>
      </c>
    </row>
    <row r="244" spans="1:19" x14ac:dyDescent="0.15">
      <c r="A244">
        <v>242</v>
      </c>
      <c r="B244" t="s">
        <v>301</v>
      </c>
      <c r="C244" t="s">
        <v>139</v>
      </c>
      <c r="D244" t="s">
        <v>26</v>
      </c>
      <c r="E244" t="s">
        <v>249</v>
      </c>
      <c r="F244">
        <v>168461</v>
      </c>
      <c r="G244">
        <v>776</v>
      </c>
      <c r="H244">
        <v>785</v>
      </c>
      <c r="I244">
        <v>3.1E-2</v>
      </c>
      <c r="J244">
        <v>53584</v>
      </c>
      <c r="K244">
        <v>87.6</v>
      </c>
      <c r="L244">
        <v>88.89</v>
      </c>
      <c r="N244">
        <v>40</v>
      </c>
      <c r="Q244">
        <v>1.4</v>
      </c>
      <c r="R244">
        <v>42.491799999999998</v>
      </c>
      <c r="S244">
        <v>-92.352199999999996</v>
      </c>
    </row>
    <row r="245" spans="1:19" x14ac:dyDescent="0.15">
      <c r="A245">
        <v>243</v>
      </c>
      <c r="B245" t="s">
        <v>302</v>
      </c>
      <c r="C245" t="s">
        <v>34</v>
      </c>
      <c r="D245" t="s">
        <v>19</v>
      </c>
      <c r="E245" t="s">
        <v>249</v>
      </c>
      <c r="F245">
        <v>168327</v>
      </c>
      <c r="G245">
        <v>1933</v>
      </c>
      <c r="H245">
        <v>1073</v>
      </c>
      <c r="I245">
        <v>4.8000000000000001E-2</v>
      </c>
      <c r="J245">
        <v>53118</v>
      </c>
      <c r="K245">
        <v>96.1</v>
      </c>
      <c r="L245">
        <v>97.86</v>
      </c>
      <c r="M245">
        <v>39.4</v>
      </c>
      <c r="N245">
        <v>42</v>
      </c>
      <c r="Q245">
        <v>1.1000000000000001</v>
      </c>
      <c r="R245">
        <v>41.002299999999998</v>
      </c>
      <c r="S245">
        <v>-75.177899999999994</v>
      </c>
    </row>
    <row r="246" spans="1:19" x14ac:dyDescent="0.15">
      <c r="A246">
        <v>244</v>
      </c>
      <c r="B246" t="s">
        <v>303</v>
      </c>
      <c r="C246" t="s">
        <v>53</v>
      </c>
      <c r="D246" t="s">
        <v>23</v>
      </c>
      <c r="E246" t="s">
        <v>249</v>
      </c>
      <c r="F246">
        <v>168162</v>
      </c>
      <c r="G246">
        <v>1332</v>
      </c>
      <c r="H246">
        <v>911</v>
      </c>
      <c r="I246">
        <v>4.2999999999999997E-2</v>
      </c>
      <c r="J246">
        <v>46927</v>
      </c>
      <c r="K246">
        <v>92.2</v>
      </c>
      <c r="L246">
        <v>90.92</v>
      </c>
      <c r="M246">
        <v>21.4</v>
      </c>
      <c r="N246">
        <v>19</v>
      </c>
      <c r="Q246">
        <v>2.2000000000000002</v>
      </c>
      <c r="R246">
        <v>38.270099999999999</v>
      </c>
      <c r="S246">
        <v>-104.6114</v>
      </c>
    </row>
    <row r="247" spans="1:19" x14ac:dyDescent="0.15">
      <c r="A247">
        <v>245</v>
      </c>
      <c r="B247" t="s">
        <v>304</v>
      </c>
      <c r="C247" t="s">
        <v>85</v>
      </c>
      <c r="D247" t="s">
        <v>26</v>
      </c>
      <c r="E247" t="s">
        <v>249</v>
      </c>
      <c r="F247">
        <v>166428</v>
      </c>
      <c r="G247">
        <v>884</v>
      </c>
      <c r="H247">
        <v>756</v>
      </c>
      <c r="I247">
        <v>1.9E-2</v>
      </c>
      <c r="J247">
        <v>56947</v>
      </c>
      <c r="K247">
        <v>88.9</v>
      </c>
      <c r="L247">
        <v>89.97</v>
      </c>
      <c r="M247">
        <v>20</v>
      </c>
      <c r="N247">
        <v>35</v>
      </c>
      <c r="Q247">
        <v>1.6</v>
      </c>
      <c r="R247">
        <v>44.962000000000003</v>
      </c>
      <c r="S247">
        <v>-89.645899999999997</v>
      </c>
    </row>
    <row r="248" spans="1:19" x14ac:dyDescent="0.15">
      <c r="A248">
        <v>246</v>
      </c>
      <c r="B248" t="s">
        <v>305</v>
      </c>
      <c r="C248" t="s">
        <v>80</v>
      </c>
      <c r="D248" t="s">
        <v>29</v>
      </c>
      <c r="E248" t="s">
        <v>249</v>
      </c>
      <c r="F248">
        <v>166378</v>
      </c>
      <c r="G248">
        <v>1926</v>
      </c>
      <c r="H248">
        <v>924</v>
      </c>
      <c r="I248">
        <v>2.5000000000000001E-2</v>
      </c>
      <c r="J248">
        <v>44904</v>
      </c>
      <c r="K248">
        <v>94.5</v>
      </c>
      <c r="L248">
        <v>92.19</v>
      </c>
      <c r="M248">
        <v>20.5</v>
      </c>
      <c r="N248">
        <v>40</v>
      </c>
      <c r="Q248">
        <v>2</v>
      </c>
      <c r="R248">
        <v>37.229999999999997</v>
      </c>
      <c r="S248">
        <v>-80.427899999999994</v>
      </c>
    </row>
    <row r="249" spans="1:19" x14ac:dyDescent="0.15">
      <c r="A249">
        <v>247</v>
      </c>
      <c r="B249" t="s">
        <v>306</v>
      </c>
      <c r="C249" t="s">
        <v>28</v>
      </c>
      <c r="D249" t="s">
        <v>29</v>
      </c>
      <c r="E249" t="s">
        <v>249</v>
      </c>
      <c r="F249">
        <v>165171</v>
      </c>
      <c r="G249">
        <v>1359</v>
      </c>
      <c r="H249">
        <v>960</v>
      </c>
      <c r="I249">
        <v>3.7999999999999999E-2</v>
      </c>
      <c r="J249">
        <v>53610</v>
      </c>
      <c r="K249">
        <v>92.7</v>
      </c>
      <c r="L249">
        <v>96.52</v>
      </c>
      <c r="N249">
        <v>31</v>
      </c>
      <c r="Q249">
        <v>1.9</v>
      </c>
      <c r="R249">
        <v>31.880099999999999</v>
      </c>
      <c r="S249">
        <v>-102.34480000000001</v>
      </c>
    </row>
    <row r="250" spans="1:19" x14ac:dyDescent="0.15">
      <c r="A250">
        <v>248</v>
      </c>
      <c r="B250" t="s">
        <v>307</v>
      </c>
      <c r="C250" t="s">
        <v>85</v>
      </c>
      <c r="D250" t="s">
        <v>26</v>
      </c>
      <c r="E250" t="s">
        <v>249</v>
      </c>
      <c r="F250">
        <v>163687</v>
      </c>
      <c r="G250">
        <v>967</v>
      </c>
      <c r="H250">
        <v>816</v>
      </c>
      <c r="I250">
        <v>2.6000000000000002E-2</v>
      </c>
      <c r="J250">
        <v>52787</v>
      </c>
      <c r="K250">
        <v>89.8</v>
      </c>
      <c r="L250">
        <v>93.06</v>
      </c>
      <c r="M250">
        <v>23.5</v>
      </c>
      <c r="N250">
        <v>40</v>
      </c>
      <c r="Q250">
        <v>2.1</v>
      </c>
      <c r="R250">
        <v>42.685400000000001</v>
      </c>
      <c r="S250">
        <v>-89.013499999999993</v>
      </c>
    </row>
    <row r="251" spans="1:19" x14ac:dyDescent="0.15">
      <c r="A251">
        <v>249</v>
      </c>
      <c r="B251" t="s">
        <v>300</v>
      </c>
      <c r="C251" t="s">
        <v>74</v>
      </c>
      <c r="D251" t="s">
        <v>26</v>
      </c>
      <c r="E251" t="s">
        <v>249</v>
      </c>
      <c r="F251">
        <v>161039</v>
      </c>
      <c r="G251">
        <v>1621</v>
      </c>
      <c r="H251">
        <v>1025</v>
      </c>
      <c r="I251">
        <v>0.02</v>
      </c>
      <c r="J251">
        <v>51899</v>
      </c>
      <c r="K251">
        <v>92.4</v>
      </c>
      <c r="L251">
        <v>94.12</v>
      </c>
      <c r="M251">
        <v>19.7</v>
      </c>
      <c r="N251">
        <v>40</v>
      </c>
      <c r="Q251">
        <v>2.6</v>
      </c>
      <c r="R251">
        <v>39.163699999999999</v>
      </c>
      <c r="S251">
        <v>-86.525700000000001</v>
      </c>
    </row>
    <row r="252" spans="1:19" x14ac:dyDescent="0.15">
      <c r="A252">
        <v>250</v>
      </c>
      <c r="B252" t="s">
        <v>153</v>
      </c>
      <c r="C252" t="s">
        <v>46</v>
      </c>
      <c r="D252" t="s">
        <v>26</v>
      </c>
      <c r="E252" t="s">
        <v>249</v>
      </c>
      <c r="F252">
        <v>160366</v>
      </c>
      <c r="G252">
        <v>1099</v>
      </c>
      <c r="H252">
        <v>878</v>
      </c>
      <c r="I252">
        <v>4.2000000000000003E-2</v>
      </c>
      <c r="J252">
        <v>47503</v>
      </c>
      <c r="K252">
        <v>87.4</v>
      </c>
      <c r="L252">
        <v>93.8</v>
      </c>
      <c r="M252">
        <v>24.4</v>
      </c>
      <c r="Q252">
        <v>1</v>
      </c>
      <c r="R252">
        <v>42.243099999999998</v>
      </c>
      <c r="S252">
        <v>-84.403800000000004</v>
      </c>
    </row>
    <row r="253" spans="1:19" x14ac:dyDescent="0.15">
      <c r="A253">
        <v>251</v>
      </c>
      <c r="B253" t="s">
        <v>308</v>
      </c>
      <c r="C253" t="s">
        <v>36</v>
      </c>
      <c r="D253" t="s">
        <v>29</v>
      </c>
      <c r="E253" t="s">
        <v>249</v>
      </c>
      <c r="F253">
        <v>159788</v>
      </c>
      <c r="G253">
        <v>2375</v>
      </c>
      <c r="H253">
        <v>1094</v>
      </c>
      <c r="I253">
        <v>2.6000000000000002E-2</v>
      </c>
      <c r="J253">
        <v>95109</v>
      </c>
      <c r="L253">
        <v>98.16</v>
      </c>
      <c r="N253">
        <v>34</v>
      </c>
      <c r="Q253">
        <v>0</v>
      </c>
      <c r="R253">
        <v>27.7822</v>
      </c>
      <c r="S253">
        <v>-80.481899999999996</v>
      </c>
    </row>
    <row r="254" spans="1:19" x14ac:dyDescent="0.15">
      <c r="A254">
        <v>252</v>
      </c>
      <c r="B254" t="s">
        <v>309</v>
      </c>
      <c r="C254" t="s">
        <v>34</v>
      </c>
      <c r="D254" t="s">
        <v>19</v>
      </c>
      <c r="E254" t="s">
        <v>249</v>
      </c>
      <c r="F254">
        <v>158172</v>
      </c>
      <c r="G254">
        <v>1723</v>
      </c>
      <c r="H254">
        <v>1206</v>
      </c>
      <c r="I254">
        <v>2.7999999999999997E-2</v>
      </c>
      <c r="J254">
        <v>54994</v>
      </c>
      <c r="K254">
        <v>99.8</v>
      </c>
      <c r="L254">
        <v>95.76</v>
      </c>
      <c r="M254">
        <v>19.7</v>
      </c>
      <c r="N254">
        <v>39</v>
      </c>
      <c r="Q254">
        <v>3.5</v>
      </c>
      <c r="R254">
        <v>40.790900000000001</v>
      </c>
      <c r="S254">
        <v>-77.856700000000004</v>
      </c>
    </row>
    <row r="255" spans="1:19" x14ac:dyDescent="0.15">
      <c r="A255">
        <v>253</v>
      </c>
      <c r="B255" t="s">
        <v>310</v>
      </c>
      <c r="C255" t="s">
        <v>299</v>
      </c>
      <c r="D255" t="s">
        <v>23</v>
      </c>
      <c r="E255" t="s">
        <v>249</v>
      </c>
      <c r="F255">
        <v>157429</v>
      </c>
      <c r="G255">
        <v>1183</v>
      </c>
      <c r="H255">
        <v>830</v>
      </c>
      <c r="I255">
        <v>0.02</v>
      </c>
      <c r="J255">
        <v>55084</v>
      </c>
      <c r="K255">
        <v>91.7</v>
      </c>
      <c r="L255">
        <v>90.62</v>
      </c>
      <c r="M255">
        <v>19.5</v>
      </c>
      <c r="N255">
        <v>43</v>
      </c>
      <c r="Q255">
        <v>1.3</v>
      </c>
      <c r="R255">
        <v>43.487099999999998</v>
      </c>
      <c r="S255">
        <v>-112.03619999999999</v>
      </c>
    </row>
    <row r="256" spans="1:19" x14ac:dyDescent="0.15">
      <c r="A256">
        <v>254</v>
      </c>
      <c r="B256" t="s">
        <v>311</v>
      </c>
      <c r="C256" t="s">
        <v>101</v>
      </c>
      <c r="D256" t="s">
        <v>29</v>
      </c>
      <c r="E256" t="s">
        <v>249</v>
      </c>
      <c r="F256">
        <v>156494</v>
      </c>
      <c r="G256">
        <v>1131</v>
      </c>
      <c r="H256">
        <v>679</v>
      </c>
      <c r="I256">
        <v>1.8000000000000002E-2</v>
      </c>
      <c r="J256">
        <v>46533</v>
      </c>
      <c r="K256">
        <v>88.6</v>
      </c>
      <c r="L256">
        <v>86.25</v>
      </c>
      <c r="N256">
        <v>43</v>
      </c>
      <c r="Q256">
        <v>0</v>
      </c>
      <c r="R256">
        <v>34.573099999999997</v>
      </c>
      <c r="S256">
        <v>-86.990499999999997</v>
      </c>
    </row>
    <row r="257" spans="1:19" x14ac:dyDescent="0.15">
      <c r="A257">
        <v>255</v>
      </c>
      <c r="B257" t="s">
        <v>312</v>
      </c>
      <c r="C257" t="s">
        <v>22</v>
      </c>
      <c r="D257" t="s">
        <v>23</v>
      </c>
      <c r="E257" t="s">
        <v>249</v>
      </c>
      <c r="F257">
        <v>156255</v>
      </c>
      <c r="G257">
        <v>1717</v>
      </c>
      <c r="H257">
        <v>1048</v>
      </c>
      <c r="I257">
        <v>0.06</v>
      </c>
      <c r="J257">
        <v>45757</v>
      </c>
      <c r="K257">
        <v>108.9</v>
      </c>
      <c r="L257">
        <v>100.09</v>
      </c>
      <c r="M257">
        <v>25.4</v>
      </c>
      <c r="N257">
        <v>48</v>
      </c>
      <c r="Q257">
        <v>1.2</v>
      </c>
      <c r="R257">
        <v>36.963000000000001</v>
      </c>
      <c r="S257">
        <v>-120.0778</v>
      </c>
    </row>
    <row r="258" spans="1:19" x14ac:dyDescent="0.15">
      <c r="A258">
        <v>256</v>
      </c>
      <c r="B258" t="s">
        <v>313</v>
      </c>
      <c r="C258" t="s">
        <v>34</v>
      </c>
      <c r="D258" t="s">
        <v>19</v>
      </c>
      <c r="E258" t="s">
        <v>249</v>
      </c>
      <c r="F258">
        <v>155932</v>
      </c>
      <c r="G258">
        <v>1189</v>
      </c>
      <c r="H258">
        <v>864</v>
      </c>
      <c r="I258">
        <v>2.7999999999999997E-2</v>
      </c>
      <c r="J258">
        <v>55139</v>
      </c>
      <c r="K258">
        <v>95.7</v>
      </c>
      <c r="L258">
        <v>95.18</v>
      </c>
      <c r="N258">
        <v>41</v>
      </c>
      <c r="Q258">
        <v>0</v>
      </c>
      <c r="R258">
        <v>39.9315</v>
      </c>
      <c r="S258">
        <v>-77.655600000000007</v>
      </c>
    </row>
    <row r="259" spans="1:19" x14ac:dyDescent="0.15">
      <c r="A259">
        <v>257</v>
      </c>
      <c r="B259" t="s">
        <v>314</v>
      </c>
      <c r="C259" t="s">
        <v>53</v>
      </c>
      <c r="D259" t="s">
        <v>23</v>
      </c>
      <c r="E259" t="s">
        <v>249</v>
      </c>
      <c r="F259">
        <v>155703</v>
      </c>
      <c r="G259">
        <v>1506</v>
      </c>
      <c r="H259">
        <v>861</v>
      </c>
      <c r="I259">
        <v>3.1E-2</v>
      </c>
      <c r="J259">
        <v>52121</v>
      </c>
      <c r="K259">
        <v>98.1</v>
      </c>
      <c r="L259">
        <v>92.47</v>
      </c>
      <c r="M259">
        <v>18.100000000000001</v>
      </c>
      <c r="N259">
        <v>45</v>
      </c>
      <c r="Q259">
        <v>2.2999999999999998</v>
      </c>
      <c r="R259">
        <v>39.087699999999998</v>
      </c>
      <c r="S259">
        <v>-108.5673</v>
      </c>
    </row>
    <row r="260" spans="1:19" x14ac:dyDescent="0.15">
      <c r="A260">
        <v>258</v>
      </c>
      <c r="B260" t="s">
        <v>315</v>
      </c>
      <c r="C260" t="s">
        <v>92</v>
      </c>
      <c r="D260" t="s">
        <v>29</v>
      </c>
      <c r="E260" t="s">
        <v>249</v>
      </c>
      <c r="F260">
        <v>155572</v>
      </c>
      <c r="G260">
        <v>1250</v>
      </c>
      <c r="H260">
        <v>699</v>
      </c>
      <c r="I260">
        <v>3.6000000000000004E-2</v>
      </c>
      <c r="J260">
        <v>50016</v>
      </c>
      <c r="K260">
        <v>88.1</v>
      </c>
      <c r="L260">
        <v>87.43</v>
      </c>
      <c r="M260">
        <v>23.6</v>
      </c>
      <c r="N260">
        <v>42</v>
      </c>
      <c r="Q260">
        <v>0</v>
      </c>
      <c r="R260">
        <v>37.703099999999999</v>
      </c>
      <c r="S260">
        <v>-85.877300000000005</v>
      </c>
    </row>
    <row r="261" spans="1:19" x14ac:dyDescent="0.15">
      <c r="A261">
        <v>259</v>
      </c>
      <c r="B261" t="s">
        <v>316</v>
      </c>
      <c r="C261" t="s">
        <v>117</v>
      </c>
      <c r="D261" t="s">
        <v>23</v>
      </c>
      <c r="E261" t="s">
        <v>249</v>
      </c>
      <c r="F261">
        <v>154823</v>
      </c>
      <c r="G261">
        <v>1897</v>
      </c>
      <c r="H261">
        <v>1198</v>
      </c>
      <c r="I261">
        <v>2.7999999999999997E-2</v>
      </c>
      <c r="J261">
        <v>69528</v>
      </c>
      <c r="K261">
        <v>105.1</v>
      </c>
      <c r="L261">
        <v>93.39</v>
      </c>
      <c r="M261">
        <v>22.1</v>
      </c>
      <c r="N261">
        <v>45</v>
      </c>
      <c r="Q261">
        <v>3.3</v>
      </c>
      <c r="R261">
        <v>35.661900000000003</v>
      </c>
      <c r="S261">
        <v>-105.9819</v>
      </c>
    </row>
    <row r="262" spans="1:19" x14ac:dyDescent="0.15">
      <c r="A262">
        <v>260</v>
      </c>
      <c r="B262" t="s">
        <v>317</v>
      </c>
      <c r="C262" t="s">
        <v>22</v>
      </c>
      <c r="D262" t="s">
        <v>23</v>
      </c>
      <c r="E262" t="s">
        <v>249</v>
      </c>
      <c r="F262">
        <v>152486</v>
      </c>
      <c r="G262">
        <v>1735</v>
      </c>
      <c r="H262">
        <v>1102</v>
      </c>
      <c r="I262">
        <v>6.8000000000000005E-2</v>
      </c>
      <c r="J262">
        <v>43176</v>
      </c>
      <c r="K262">
        <v>105.4</v>
      </c>
      <c r="L262">
        <v>98.58</v>
      </c>
      <c r="N262">
        <v>67</v>
      </c>
      <c r="Q262">
        <v>3</v>
      </c>
      <c r="R262">
        <v>36.327399999999997</v>
      </c>
      <c r="S262">
        <v>-119.6549</v>
      </c>
    </row>
    <row r="263" spans="1:19" x14ac:dyDescent="0.15">
      <c r="A263">
        <v>261</v>
      </c>
      <c r="B263" t="s">
        <v>318</v>
      </c>
      <c r="C263" t="s">
        <v>161</v>
      </c>
      <c r="D263" t="s">
        <v>19</v>
      </c>
      <c r="E263" t="s">
        <v>249</v>
      </c>
      <c r="F263">
        <v>152199</v>
      </c>
      <c r="G263">
        <v>1207</v>
      </c>
      <c r="H263">
        <v>954</v>
      </c>
      <c r="I263">
        <v>0</v>
      </c>
      <c r="J263">
        <v>50480</v>
      </c>
      <c r="K263">
        <v>98</v>
      </c>
      <c r="L263">
        <v>96.69</v>
      </c>
      <c r="M263">
        <v>22.2</v>
      </c>
      <c r="N263">
        <v>33</v>
      </c>
      <c r="Q263">
        <v>1.2</v>
      </c>
      <c r="R263">
        <v>44.832299999999996</v>
      </c>
      <c r="S263">
        <v>-68.790599999999998</v>
      </c>
    </row>
    <row r="264" spans="1:19" x14ac:dyDescent="0.15">
      <c r="A264">
        <v>262</v>
      </c>
      <c r="B264" t="s">
        <v>319</v>
      </c>
      <c r="C264" t="s">
        <v>101</v>
      </c>
      <c r="D264" t="s">
        <v>29</v>
      </c>
      <c r="E264" t="s">
        <v>249</v>
      </c>
      <c r="F264">
        <v>151007</v>
      </c>
      <c r="G264">
        <v>1450</v>
      </c>
      <c r="H264">
        <v>666</v>
      </c>
      <c r="I264">
        <v>2.2000000000000002E-2</v>
      </c>
      <c r="J264">
        <v>49343</v>
      </c>
      <c r="K264">
        <v>86.3</v>
      </c>
      <c r="L264">
        <v>86.2</v>
      </c>
      <c r="Q264">
        <v>0</v>
      </c>
      <c r="R264">
        <v>31.233599999999999</v>
      </c>
      <c r="S264">
        <v>-85.406999999999996</v>
      </c>
    </row>
    <row r="265" spans="1:19" x14ac:dyDescent="0.15">
      <c r="A265">
        <v>263</v>
      </c>
      <c r="B265" t="s">
        <v>273</v>
      </c>
      <c r="C265" t="s">
        <v>101</v>
      </c>
      <c r="D265" t="s">
        <v>29</v>
      </c>
      <c r="E265" t="s">
        <v>249</v>
      </c>
      <c r="F265">
        <v>150791</v>
      </c>
      <c r="G265">
        <v>967</v>
      </c>
      <c r="H265">
        <v>656</v>
      </c>
      <c r="I265">
        <v>2.4E-2</v>
      </c>
      <c r="J265">
        <v>44605</v>
      </c>
      <c r="K265">
        <v>86.8</v>
      </c>
      <c r="L265">
        <v>85.51</v>
      </c>
      <c r="Q265">
        <v>0</v>
      </c>
      <c r="R265">
        <v>34.830300000000001</v>
      </c>
      <c r="S265">
        <v>-87.665499999999994</v>
      </c>
    </row>
    <row r="266" spans="1:19" x14ac:dyDescent="0.15">
      <c r="A266">
        <v>264</v>
      </c>
      <c r="B266" t="s">
        <v>320</v>
      </c>
      <c r="C266" t="s">
        <v>57</v>
      </c>
      <c r="D266" t="s">
        <v>26</v>
      </c>
      <c r="E266" t="s">
        <v>249</v>
      </c>
      <c r="F266">
        <v>150309</v>
      </c>
      <c r="G266">
        <v>850</v>
      </c>
      <c r="H266">
        <v>654</v>
      </c>
      <c r="I266">
        <v>1.9E-2</v>
      </c>
      <c r="J266">
        <v>51286</v>
      </c>
      <c r="K266">
        <v>86.3</v>
      </c>
      <c r="L266">
        <v>88.2</v>
      </c>
      <c r="M266">
        <v>20.9</v>
      </c>
      <c r="N266">
        <v>41</v>
      </c>
      <c r="Q266">
        <v>0.9</v>
      </c>
      <c r="R266">
        <v>38.567599999999999</v>
      </c>
      <c r="S266">
        <v>-92.175899999999999</v>
      </c>
    </row>
    <row r="267" spans="1:19" x14ac:dyDescent="0.15">
      <c r="A267">
        <v>265</v>
      </c>
      <c r="B267" t="s">
        <v>321</v>
      </c>
      <c r="C267" t="s">
        <v>139</v>
      </c>
      <c r="D267" t="s">
        <v>26</v>
      </c>
      <c r="E267" t="s">
        <v>249</v>
      </c>
      <c r="F267">
        <v>149940</v>
      </c>
      <c r="G267">
        <v>1237</v>
      </c>
      <c r="H267">
        <v>748</v>
      </c>
      <c r="I267">
        <v>2.8999999999999998E-2</v>
      </c>
      <c r="J267">
        <v>59993</v>
      </c>
      <c r="K267">
        <v>87.1</v>
      </c>
      <c r="L267">
        <v>90</v>
      </c>
      <c r="M267">
        <v>18.2</v>
      </c>
      <c r="N267">
        <v>28</v>
      </c>
      <c r="Q267">
        <v>2</v>
      </c>
      <c r="R267">
        <v>42.495899999999999</v>
      </c>
      <c r="S267">
        <v>-96.390100000000004</v>
      </c>
    </row>
    <row r="268" spans="1:19" x14ac:dyDescent="0.15">
      <c r="A268">
        <v>266</v>
      </c>
      <c r="B268" t="s">
        <v>119</v>
      </c>
      <c r="C268" t="s">
        <v>38</v>
      </c>
      <c r="D268" t="s">
        <v>29</v>
      </c>
      <c r="E268" t="s">
        <v>249</v>
      </c>
      <c r="F268">
        <v>148922</v>
      </c>
      <c r="G268">
        <v>859</v>
      </c>
      <c r="H268">
        <v>800</v>
      </c>
      <c r="I268">
        <v>3.5000000000000003E-2</v>
      </c>
      <c r="J268">
        <v>45619</v>
      </c>
      <c r="K268">
        <v>87.3</v>
      </c>
      <c r="L268">
        <v>89.38</v>
      </c>
      <c r="N268">
        <v>36</v>
      </c>
      <c r="Q268">
        <v>1.4</v>
      </c>
      <c r="R268">
        <v>31.5776</v>
      </c>
      <c r="S268">
        <v>-84.176199999999994</v>
      </c>
    </row>
    <row r="269" spans="1:19" x14ac:dyDescent="0.15">
      <c r="A269">
        <v>267</v>
      </c>
      <c r="B269" t="s">
        <v>322</v>
      </c>
      <c r="C269" t="s">
        <v>28</v>
      </c>
      <c r="D269" t="s">
        <v>29</v>
      </c>
      <c r="E269" t="s">
        <v>249</v>
      </c>
      <c r="F269">
        <v>148128</v>
      </c>
      <c r="G269">
        <v>1102</v>
      </c>
      <c r="H269">
        <v>814</v>
      </c>
      <c r="I269">
        <v>3.3000000000000002E-2</v>
      </c>
      <c r="J269">
        <v>50905</v>
      </c>
      <c r="K269">
        <v>85.7</v>
      </c>
      <c r="L269">
        <v>91.13</v>
      </c>
      <c r="M269">
        <v>16.399999999999999</v>
      </c>
      <c r="Q269">
        <v>1.7</v>
      </c>
      <c r="R269">
        <v>33.907200000000003</v>
      </c>
      <c r="S269">
        <v>-98.5291</v>
      </c>
    </row>
    <row r="270" spans="1:19" x14ac:dyDescent="0.15">
      <c r="A270">
        <v>268</v>
      </c>
      <c r="B270" t="s">
        <v>323</v>
      </c>
      <c r="C270" t="s">
        <v>38</v>
      </c>
      <c r="D270" t="s">
        <v>29</v>
      </c>
      <c r="E270" t="s">
        <v>249</v>
      </c>
      <c r="F270">
        <v>148126</v>
      </c>
      <c r="G270">
        <v>1384</v>
      </c>
      <c r="H270">
        <v>725</v>
      </c>
      <c r="I270">
        <v>2.7999999999999997E-2</v>
      </c>
      <c r="J270">
        <v>42585</v>
      </c>
      <c r="K270">
        <v>89.2</v>
      </c>
      <c r="L270">
        <v>88.28</v>
      </c>
      <c r="M270">
        <v>19.7</v>
      </c>
      <c r="N270">
        <v>35</v>
      </c>
      <c r="Q270">
        <v>0</v>
      </c>
      <c r="R270">
        <v>30.850200000000001</v>
      </c>
      <c r="S270">
        <v>-83.278800000000004</v>
      </c>
    </row>
    <row r="271" spans="1:19" x14ac:dyDescent="0.15">
      <c r="A271">
        <v>269</v>
      </c>
      <c r="B271" t="s">
        <v>324</v>
      </c>
      <c r="C271" t="s">
        <v>28</v>
      </c>
      <c r="D271" t="s">
        <v>29</v>
      </c>
      <c r="E271" t="s">
        <v>249</v>
      </c>
      <c r="F271">
        <v>147519</v>
      </c>
      <c r="G271">
        <v>1154</v>
      </c>
      <c r="I271">
        <v>3.6000000000000004E-2</v>
      </c>
      <c r="J271">
        <v>45058</v>
      </c>
      <c r="K271">
        <v>86.3</v>
      </c>
      <c r="L271">
        <v>88.39</v>
      </c>
      <c r="N271">
        <v>42</v>
      </c>
      <c r="Q271">
        <v>1.1000000000000001</v>
      </c>
      <c r="R271">
        <v>33.450000000000003</v>
      </c>
      <c r="S271">
        <v>-94.084699999999998</v>
      </c>
    </row>
    <row r="272" spans="1:19" x14ac:dyDescent="0.15">
      <c r="A272">
        <v>270</v>
      </c>
      <c r="B272" t="s">
        <v>325</v>
      </c>
      <c r="C272" t="s">
        <v>96</v>
      </c>
      <c r="D272" t="s">
        <v>23</v>
      </c>
      <c r="E272" t="s">
        <v>249</v>
      </c>
      <c r="F272">
        <v>147348</v>
      </c>
      <c r="G272">
        <v>1285</v>
      </c>
      <c r="H272">
        <v>804</v>
      </c>
      <c r="I272">
        <v>1.8000000000000002E-2</v>
      </c>
      <c r="J272">
        <v>46903</v>
      </c>
      <c r="K272">
        <v>95.2</v>
      </c>
      <c r="L272">
        <v>92.02</v>
      </c>
      <c r="M272">
        <v>17.100000000000001</v>
      </c>
      <c r="N272">
        <v>44</v>
      </c>
      <c r="Q272">
        <v>2.2000000000000002</v>
      </c>
      <c r="R272">
        <v>41.739899999999999</v>
      </c>
      <c r="S272">
        <v>-111.84220000000001</v>
      </c>
    </row>
    <row r="273" spans="1:19" x14ac:dyDescent="0.15">
      <c r="A273">
        <v>271</v>
      </c>
      <c r="B273" t="s">
        <v>326</v>
      </c>
      <c r="C273" t="s">
        <v>42</v>
      </c>
      <c r="D273" t="s">
        <v>23</v>
      </c>
      <c r="E273" t="s">
        <v>249</v>
      </c>
      <c r="F273">
        <v>145101</v>
      </c>
      <c r="G273">
        <v>2317</v>
      </c>
      <c r="H273">
        <v>1447</v>
      </c>
      <c r="I273">
        <v>3.7999999999999999E-2</v>
      </c>
      <c r="J273">
        <v>56914</v>
      </c>
      <c r="K273">
        <v>108.5</v>
      </c>
      <c r="L273">
        <v>95.55</v>
      </c>
      <c r="M273">
        <v>16.600000000000001</v>
      </c>
      <c r="N273">
        <v>47</v>
      </c>
      <c r="Q273">
        <v>2.1</v>
      </c>
      <c r="R273">
        <v>35.187199999999997</v>
      </c>
      <c r="S273">
        <v>-111.6194</v>
      </c>
    </row>
    <row r="274" spans="1:19" x14ac:dyDescent="0.15">
      <c r="A274">
        <v>272</v>
      </c>
      <c r="B274" t="s">
        <v>327</v>
      </c>
      <c r="C274" t="s">
        <v>60</v>
      </c>
      <c r="D274" t="s">
        <v>29</v>
      </c>
      <c r="E274" t="s">
        <v>249</v>
      </c>
      <c r="F274">
        <v>143870</v>
      </c>
      <c r="G274">
        <v>1301</v>
      </c>
      <c r="H274">
        <v>777</v>
      </c>
      <c r="I274">
        <v>5.2000000000000005E-2</v>
      </c>
      <c r="J274">
        <v>48812</v>
      </c>
      <c r="K274">
        <v>88.3</v>
      </c>
      <c r="L274">
        <v>87.83</v>
      </c>
      <c r="M274">
        <v>22.7</v>
      </c>
      <c r="N274">
        <v>38</v>
      </c>
      <c r="Q274">
        <v>1</v>
      </c>
      <c r="R274">
        <v>35.968499999999999</v>
      </c>
      <c r="S274">
        <v>-77.804000000000002</v>
      </c>
    </row>
    <row r="275" spans="1:19" x14ac:dyDescent="0.15">
      <c r="A275">
        <v>273</v>
      </c>
      <c r="B275" t="s">
        <v>328</v>
      </c>
      <c r="C275" t="s">
        <v>34</v>
      </c>
      <c r="D275" t="s">
        <v>19</v>
      </c>
      <c r="E275" t="s">
        <v>249</v>
      </c>
      <c r="F275">
        <v>143257</v>
      </c>
      <c r="G275">
        <v>1105</v>
      </c>
      <c r="H275">
        <v>887</v>
      </c>
      <c r="I275">
        <v>2.6000000000000002E-2</v>
      </c>
      <c r="J275">
        <v>55803</v>
      </c>
      <c r="K275">
        <v>95.4</v>
      </c>
      <c r="L275">
        <v>96.06</v>
      </c>
      <c r="M275">
        <v>23.5</v>
      </c>
      <c r="N275">
        <v>38</v>
      </c>
      <c r="Q275">
        <v>1.5</v>
      </c>
      <c r="R275">
        <v>40.341200000000001</v>
      </c>
      <c r="S275">
        <v>-76.422799999999995</v>
      </c>
    </row>
    <row r="276" spans="1:19" x14ac:dyDescent="0.15">
      <c r="A276">
        <v>274</v>
      </c>
      <c r="B276" t="s">
        <v>329</v>
      </c>
      <c r="C276" t="s">
        <v>80</v>
      </c>
      <c r="D276" t="s">
        <v>29</v>
      </c>
      <c r="E276" t="s">
        <v>249</v>
      </c>
      <c r="F276">
        <v>142632</v>
      </c>
      <c r="G276">
        <v>1587</v>
      </c>
      <c r="H276">
        <v>1041</v>
      </c>
      <c r="I276">
        <v>2.3E-2</v>
      </c>
      <c r="J276">
        <v>56544</v>
      </c>
      <c r="K276">
        <v>97.2</v>
      </c>
      <c r="L276">
        <v>97.26</v>
      </c>
      <c r="N276">
        <v>38</v>
      </c>
      <c r="Q276">
        <v>0.1</v>
      </c>
      <c r="R276">
        <v>39.173499999999997</v>
      </c>
      <c r="S276">
        <v>-78.174599999999998</v>
      </c>
    </row>
    <row r="277" spans="1:19" x14ac:dyDescent="0.15">
      <c r="A277">
        <v>275</v>
      </c>
      <c r="B277" t="s">
        <v>330</v>
      </c>
      <c r="C277" t="s">
        <v>208</v>
      </c>
      <c r="D277" t="s">
        <v>29</v>
      </c>
      <c r="E277" t="s">
        <v>249</v>
      </c>
      <c r="F277">
        <v>140038</v>
      </c>
      <c r="G277">
        <v>1300</v>
      </c>
      <c r="H277">
        <v>834</v>
      </c>
      <c r="I277">
        <v>2.7999999999999997E-2</v>
      </c>
      <c r="J277">
        <v>50016</v>
      </c>
      <c r="K277">
        <v>88.5</v>
      </c>
      <c r="L277">
        <v>95.55</v>
      </c>
      <c r="M277">
        <v>22.8</v>
      </c>
      <c r="N277">
        <v>38</v>
      </c>
      <c r="Q277">
        <v>2.8</v>
      </c>
      <c r="R277">
        <v>39.638300000000001</v>
      </c>
      <c r="S277">
        <v>-79.946399999999997</v>
      </c>
    </row>
    <row r="278" spans="1:19" x14ac:dyDescent="0.15">
      <c r="A278">
        <v>276</v>
      </c>
      <c r="B278" t="s">
        <v>331</v>
      </c>
      <c r="C278" t="s">
        <v>85</v>
      </c>
      <c r="D278" t="s">
        <v>26</v>
      </c>
      <c r="E278" t="s">
        <v>249</v>
      </c>
      <c r="F278">
        <v>139627</v>
      </c>
      <c r="G278">
        <v>1100</v>
      </c>
      <c r="H278">
        <v>843</v>
      </c>
      <c r="I278">
        <v>0.02</v>
      </c>
      <c r="J278">
        <v>58414</v>
      </c>
      <c r="K278">
        <v>91.8</v>
      </c>
      <c r="L278">
        <v>94.91</v>
      </c>
      <c r="M278">
        <v>19</v>
      </c>
      <c r="N278">
        <v>37</v>
      </c>
      <c r="Q278">
        <v>2.2999999999999998</v>
      </c>
      <c r="R278">
        <v>43.824100000000001</v>
      </c>
      <c r="S278">
        <v>-91.226799999999997</v>
      </c>
    </row>
    <row r="279" spans="1:19" x14ac:dyDescent="0.15">
      <c r="A279">
        <v>277</v>
      </c>
      <c r="B279" t="s">
        <v>332</v>
      </c>
      <c r="C279" t="s">
        <v>208</v>
      </c>
      <c r="D279" t="s">
        <v>29</v>
      </c>
      <c r="E279" t="s">
        <v>249</v>
      </c>
      <c r="F279">
        <v>139513</v>
      </c>
      <c r="G279">
        <v>822</v>
      </c>
      <c r="H279">
        <v>694</v>
      </c>
      <c r="I279">
        <v>4.2000000000000003E-2</v>
      </c>
      <c r="J279">
        <v>50716</v>
      </c>
      <c r="K279">
        <v>84.1</v>
      </c>
      <c r="L279">
        <v>89.27</v>
      </c>
      <c r="M279">
        <v>22.8</v>
      </c>
      <c r="N279">
        <v>38</v>
      </c>
      <c r="Q279">
        <v>1.1000000000000001</v>
      </c>
      <c r="R279">
        <v>40.075200000000002</v>
      </c>
      <c r="S279">
        <v>-80.695099999999996</v>
      </c>
    </row>
    <row r="280" spans="1:19" x14ac:dyDescent="0.15">
      <c r="A280">
        <v>278</v>
      </c>
      <c r="B280" t="s">
        <v>333</v>
      </c>
      <c r="C280" t="s">
        <v>234</v>
      </c>
      <c r="D280" t="s">
        <v>26</v>
      </c>
      <c r="E280" t="s">
        <v>249</v>
      </c>
      <c r="F280">
        <v>139074</v>
      </c>
      <c r="G280">
        <v>1391</v>
      </c>
      <c r="H280">
        <v>798</v>
      </c>
      <c r="I280">
        <v>2.2000000000000002E-2</v>
      </c>
      <c r="J280">
        <v>61259</v>
      </c>
      <c r="K280">
        <v>94.2</v>
      </c>
      <c r="L280">
        <v>91.87</v>
      </c>
      <c r="N280">
        <v>44</v>
      </c>
      <c r="Q280">
        <v>1.2</v>
      </c>
      <c r="R280">
        <v>44.071599999999997</v>
      </c>
      <c r="S280">
        <v>-103.2204</v>
      </c>
    </row>
    <row r="281" spans="1:19" x14ac:dyDescent="0.15">
      <c r="A281">
        <v>279</v>
      </c>
      <c r="B281" t="s">
        <v>334</v>
      </c>
      <c r="C281" t="s">
        <v>22</v>
      </c>
      <c r="D281" t="s">
        <v>23</v>
      </c>
      <c r="E281" t="s">
        <v>249</v>
      </c>
      <c r="F281">
        <v>138019</v>
      </c>
      <c r="G281">
        <v>2833</v>
      </c>
      <c r="H281">
        <v>1959</v>
      </c>
      <c r="I281">
        <v>0.03</v>
      </c>
      <c r="J281">
        <v>90608</v>
      </c>
      <c r="K281">
        <v>149.6</v>
      </c>
      <c r="L281">
        <v>112.07</v>
      </c>
      <c r="M281">
        <v>23.7</v>
      </c>
      <c r="Q281">
        <v>3.3</v>
      </c>
      <c r="R281">
        <v>38.297499999999999</v>
      </c>
      <c r="S281">
        <v>-122.301</v>
      </c>
    </row>
    <row r="282" spans="1:19" x14ac:dyDescent="0.15">
      <c r="A282">
        <v>280</v>
      </c>
      <c r="B282" t="s">
        <v>335</v>
      </c>
      <c r="C282" t="s">
        <v>115</v>
      </c>
      <c r="D282" t="s">
        <v>29</v>
      </c>
      <c r="E282" t="s">
        <v>249</v>
      </c>
      <c r="F282">
        <v>136700</v>
      </c>
      <c r="G282">
        <v>1144</v>
      </c>
      <c r="H282">
        <v>882</v>
      </c>
      <c r="I282">
        <v>0.04</v>
      </c>
      <c r="J282">
        <v>46550</v>
      </c>
      <c r="K282">
        <v>88.1</v>
      </c>
      <c r="L282">
        <v>86.59</v>
      </c>
      <c r="M282">
        <v>22.4</v>
      </c>
      <c r="Q282">
        <v>0.9</v>
      </c>
      <c r="R282">
        <v>33.9392</v>
      </c>
      <c r="S282">
        <v>-80.393000000000001</v>
      </c>
    </row>
    <row r="283" spans="1:19" x14ac:dyDescent="0.15">
      <c r="A283">
        <v>281</v>
      </c>
      <c r="B283" t="s">
        <v>141</v>
      </c>
      <c r="C283" t="s">
        <v>70</v>
      </c>
      <c r="D283" t="s">
        <v>26</v>
      </c>
      <c r="E283" t="s">
        <v>249</v>
      </c>
      <c r="F283">
        <v>136001</v>
      </c>
      <c r="G283">
        <v>786</v>
      </c>
      <c r="H283">
        <v>726</v>
      </c>
      <c r="I283">
        <v>3.7000000000000005E-2</v>
      </c>
      <c r="J283">
        <v>47929</v>
      </c>
      <c r="K283">
        <v>87.5</v>
      </c>
      <c r="L283">
        <v>87.15</v>
      </c>
      <c r="M283">
        <v>21.4</v>
      </c>
      <c r="N283">
        <v>42</v>
      </c>
      <c r="Q283">
        <v>0.9</v>
      </c>
      <c r="R283">
        <v>39.93</v>
      </c>
      <c r="S283">
        <v>-83.795900000000003</v>
      </c>
    </row>
    <row r="284" spans="1:19" x14ac:dyDescent="0.15">
      <c r="A284">
        <v>282</v>
      </c>
      <c r="B284" t="s">
        <v>336</v>
      </c>
      <c r="C284" t="s">
        <v>80</v>
      </c>
      <c r="D284" t="s">
        <v>29</v>
      </c>
      <c r="E284" t="s">
        <v>249</v>
      </c>
      <c r="F284">
        <v>135571</v>
      </c>
      <c r="G284">
        <v>1517</v>
      </c>
      <c r="H284">
        <v>830</v>
      </c>
      <c r="I284">
        <v>2.4E-2</v>
      </c>
      <c r="J284">
        <v>47217</v>
      </c>
      <c r="K284">
        <v>95.5</v>
      </c>
      <c r="L284">
        <v>94.07</v>
      </c>
      <c r="M284">
        <v>19.8</v>
      </c>
      <c r="N284">
        <v>36</v>
      </c>
      <c r="Q284">
        <v>2.1</v>
      </c>
      <c r="R284">
        <v>38.436199999999999</v>
      </c>
      <c r="S284">
        <v>-78.873500000000007</v>
      </c>
    </row>
    <row r="285" spans="1:19" x14ac:dyDescent="0.15">
      <c r="A285">
        <v>283</v>
      </c>
      <c r="B285" t="s">
        <v>337</v>
      </c>
      <c r="C285" t="s">
        <v>28</v>
      </c>
      <c r="D285" t="s">
        <v>29</v>
      </c>
      <c r="E285" t="s">
        <v>249</v>
      </c>
      <c r="F285">
        <v>135543</v>
      </c>
      <c r="G285">
        <v>1536</v>
      </c>
      <c r="H285">
        <v>951</v>
      </c>
      <c r="I285">
        <v>3.2000000000000001E-2</v>
      </c>
      <c r="J285">
        <v>52055</v>
      </c>
      <c r="K285">
        <v>91.3</v>
      </c>
      <c r="L285">
        <v>93.16</v>
      </c>
      <c r="Q285">
        <v>0.7</v>
      </c>
      <c r="R285">
        <v>33.627299999999998</v>
      </c>
      <c r="S285">
        <v>-96.622100000000003</v>
      </c>
    </row>
    <row r="286" spans="1:19" x14ac:dyDescent="0.15">
      <c r="A286">
        <v>284</v>
      </c>
      <c r="B286" t="s">
        <v>338</v>
      </c>
      <c r="C286" t="s">
        <v>46</v>
      </c>
      <c r="D286" t="s">
        <v>26</v>
      </c>
      <c r="E286" t="s">
        <v>249</v>
      </c>
      <c r="F286">
        <v>134310</v>
      </c>
      <c r="G286">
        <v>1038</v>
      </c>
      <c r="H286">
        <v>845</v>
      </c>
      <c r="I286">
        <v>4.4999999999999998E-2</v>
      </c>
      <c r="J286">
        <v>47789</v>
      </c>
      <c r="K286">
        <v>85.9</v>
      </c>
      <c r="L286">
        <v>90.59</v>
      </c>
      <c r="Q286">
        <v>1.6</v>
      </c>
      <c r="R286">
        <v>42.298499999999997</v>
      </c>
      <c r="S286">
        <v>-85.229600000000005</v>
      </c>
    </row>
    <row r="287" spans="1:19" x14ac:dyDescent="0.15">
      <c r="A287">
        <v>285</v>
      </c>
      <c r="B287" t="s">
        <v>339</v>
      </c>
      <c r="C287" t="s">
        <v>136</v>
      </c>
      <c r="D287" t="s">
        <v>29</v>
      </c>
      <c r="E287" t="s">
        <v>249</v>
      </c>
      <c r="F287">
        <v>134196</v>
      </c>
      <c r="G287">
        <v>1285</v>
      </c>
      <c r="H287">
        <v>704</v>
      </c>
      <c r="I287">
        <v>2.4E-2</v>
      </c>
      <c r="J287">
        <v>44554</v>
      </c>
      <c r="K287">
        <v>85.2</v>
      </c>
      <c r="L287">
        <v>87.3</v>
      </c>
      <c r="Q287">
        <v>1.1000000000000001</v>
      </c>
      <c r="R287">
        <v>35.821199999999997</v>
      </c>
      <c r="S287">
        <v>-90.679100000000005</v>
      </c>
    </row>
    <row r="288" spans="1:19" x14ac:dyDescent="0.15">
      <c r="A288">
        <v>286</v>
      </c>
      <c r="B288" t="s">
        <v>340</v>
      </c>
      <c r="C288" t="s">
        <v>149</v>
      </c>
      <c r="D288" t="s">
        <v>26</v>
      </c>
      <c r="E288" t="s">
        <v>249</v>
      </c>
      <c r="F288">
        <v>134046</v>
      </c>
      <c r="G288">
        <v>1220</v>
      </c>
      <c r="H288">
        <v>829</v>
      </c>
      <c r="I288">
        <v>2.6000000000000002E-2</v>
      </c>
      <c r="J288">
        <v>51163</v>
      </c>
      <c r="K288">
        <v>89.6</v>
      </c>
      <c r="L288">
        <v>90.59</v>
      </c>
      <c r="M288">
        <v>15.7</v>
      </c>
      <c r="Q288">
        <v>0</v>
      </c>
      <c r="R288">
        <v>39.188600000000001</v>
      </c>
      <c r="S288">
        <v>-96.604799999999997</v>
      </c>
    </row>
    <row r="289" spans="1:19" x14ac:dyDescent="0.15">
      <c r="A289">
        <v>287</v>
      </c>
      <c r="B289" t="s">
        <v>341</v>
      </c>
      <c r="C289" t="s">
        <v>248</v>
      </c>
      <c r="D289" t="s">
        <v>26</v>
      </c>
      <c r="E289" t="s">
        <v>249</v>
      </c>
      <c r="F289">
        <v>133626</v>
      </c>
      <c r="G289">
        <v>1236</v>
      </c>
      <c r="H289">
        <v>865</v>
      </c>
      <c r="I289">
        <v>2.2000000000000002E-2</v>
      </c>
      <c r="J289">
        <v>64134</v>
      </c>
      <c r="K289">
        <v>93.1</v>
      </c>
      <c r="L289">
        <v>94.24</v>
      </c>
      <c r="M289">
        <v>19.3</v>
      </c>
      <c r="N289">
        <v>39</v>
      </c>
      <c r="Q289">
        <v>2.2000000000000002</v>
      </c>
      <c r="R289">
        <v>46.814300000000003</v>
      </c>
      <c r="S289">
        <v>-100.7694</v>
      </c>
    </row>
    <row r="290" spans="1:19" x14ac:dyDescent="0.15">
      <c r="A290">
        <v>288</v>
      </c>
      <c r="B290" t="s">
        <v>342</v>
      </c>
      <c r="C290" t="s">
        <v>34</v>
      </c>
      <c r="D290" t="s">
        <v>19</v>
      </c>
      <c r="E290" t="s">
        <v>249</v>
      </c>
      <c r="F290">
        <v>133472</v>
      </c>
      <c r="G290">
        <v>801</v>
      </c>
      <c r="H290">
        <v>684</v>
      </c>
      <c r="I290">
        <v>4.4000000000000004E-2</v>
      </c>
      <c r="J290">
        <v>49472</v>
      </c>
      <c r="K290">
        <v>87.6</v>
      </c>
      <c r="L290">
        <v>86.6</v>
      </c>
      <c r="M290">
        <v>24.7</v>
      </c>
      <c r="N290">
        <v>40</v>
      </c>
      <c r="Q290">
        <v>2</v>
      </c>
      <c r="R290">
        <v>40.326000000000001</v>
      </c>
      <c r="S290">
        <v>-78.919399999999996</v>
      </c>
    </row>
    <row r="291" spans="1:19" x14ac:dyDescent="0.15">
      <c r="A291">
        <v>289</v>
      </c>
      <c r="B291" t="s">
        <v>343</v>
      </c>
      <c r="C291" t="s">
        <v>25</v>
      </c>
      <c r="D291" t="s">
        <v>26</v>
      </c>
      <c r="E291" t="s">
        <v>249</v>
      </c>
      <c r="F291">
        <v>133435</v>
      </c>
      <c r="G291">
        <v>686</v>
      </c>
      <c r="I291">
        <v>3.7000000000000005E-2</v>
      </c>
      <c r="J291">
        <v>48769</v>
      </c>
      <c r="K291">
        <v>83.5</v>
      </c>
      <c r="L291">
        <v>86.79</v>
      </c>
      <c r="M291">
        <v>19.899999999999999</v>
      </c>
      <c r="Q291">
        <v>0.9</v>
      </c>
      <c r="R291">
        <v>37.722099999999998</v>
      </c>
      <c r="S291">
        <v>-89.223699999999994</v>
      </c>
    </row>
    <row r="292" spans="1:19" x14ac:dyDescent="0.15">
      <c r="A292">
        <v>290</v>
      </c>
      <c r="B292" t="s">
        <v>344</v>
      </c>
      <c r="C292" t="s">
        <v>94</v>
      </c>
      <c r="D292" t="s">
        <v>29</v>
      </c>
      <c r="E292" t="s">
        <v>249</v>
      </c>
      <c r="F292">
        <v>133157</v>
      </c>
      <c r="G292">
        <v>1134</v>
      </c>
      <c r="H292">
        <v>821</v>
      </c>
      <c r="I292">
        <v>4.2000000000000003E-2</v>
      </c>
      <c r="J292">
        <v>47076</v>
      </c>
      <c r="K292">
        <v>89</v>
      </c>
      <c r="L292">
        <v>88.47</v>
      </c>
      <c r="N292">
        <v>31</v>
      </c>
      <c r="Q292">
        <v>0.1</v>
      </c>
      <c r="R292">
        <v>30.5061</v>
      </c>
      <c r="S292">
        <v>-90.456299999999999</v>
      </c>
    </row>
    <row r="293" spans="1:19" x14ac:dyDescent="0.15">
      <c r="A293">
        <v>291</v>
      </c>
      <c r="B293" t="s">
        <v>345</v>
      </c>
      <c r="C293" t="s">
        <v>36</v>
      </c>
      <c r="D293" t="s">
        <v>29</v>
      </c>
      <c r="E293" t="s">
        <v>249</v>
      </c>
      <c r="F293">
        <v>129752</v>
      </c>
      <c r="G293">
        <v>2190</v>
      </c>
      <c r="H293">
        <v>896</v>
      </c>
      <c r="I293">
        <v>3.4000000000000002E-2</v>
      </c>
      <c r="J293">
        <v>64282</v>
      </c>
      <c r="K293">
        <v>100.7</v>
      </c>
      <c r="L293">
        <v>96.07</v>
      </c>
      <c r="Q293">
        <v>0</v>
      </c>
      <c r="R293">
        <v>28.903400000000001</v>
      </c>
      <c r="S293">
        <v>-81.988699999999994</v>
      </c>
    </row>
    <row r="294" spans="1:19" x14ac:dyDescent="0.15">
      <c r="A294">
        <v>292</v>
      </c>
      <c r="B294" t="s">
        <v>346</v>
      </c>
      <c r="C294" t="s">
        <v>31</v>
      </c>
      <c r="D294" t="s">
        <v>23</v>
      </c>
      <c r="E294" t="s">
        <v>249</v>
      </c>
      <c r="F294">
        <v>129523</v>
      </c>
      <c r="G294">
        <v>1812</v>
      </c>
      <c r="H294">
        <v>1189</v>
      </c>
      <c r="I294">
        <v>5.5E-2</v>
      </c>
      <c r="J294">
        <v>64093</v>
      </c>
      <c r="K294">
        <v>110.1</v>
      </c>
      <c r="L294">
        <v>100.39</v>
      </c>
      <c r="M294">
        <v>26.3</v>
      </c>
      <c r="N294">
        <v>31</v>
      </c>
      <c r="Q294">
        <v>2.8</v>
      </c>
      <c r="R294">
        <v>48.420299999999997</v>
      </c>
      <c r="S294">
        <v>-122.3115</v>
      </c>
    </row>
    <row r="295" spans="1:19" x14ac:dyDescent="0.15">
      <c r="A295">
        <v>293</v>
      </c>
      <c r="B295" t="s">
        <v>347</v>
      </c>
      <c r="C295" t="s">
        <v>40</v>
      </c>
      <c r="D295" t="s">
        <v>19</v>
      </c>
      <c r="E295" t="s">
        <v>249</v>
      </c>
      <c r="F295">
        <v>129026</v>
      </c>
      <c r="G295">
        <v>1200</v>
      </c>
      <c r="H295">
        <v>1161</v>
      </c>
      <c r="I295">
        <v>0</v>
      </c>
      <c r="J295">
        <v>65050</v>
      </c>
      <c r="K295">
        <v>106.4</v>
      </c>
      <c r="L295">
        <v>95.94</v>
      </c>
      <c r="M295">
        <v>21</v>
      </c>
      <c r="N295">
        <v>40</v>
      </c>
      <c r="Q295">
        <v>1.6</v>
      </c>
      <c r="R295">
        <v>42.451700000000002</v>
      </c>
      <c r="S295">
        <v>-73.260499999999993</v>
      </c>
    </row>
    <row r="296" spans="1:19" x14ac:dyDescent="0.15">
      <c r="A296">
        <v>294</v>
      </c>
      <c r="B296" t="s">
        <v>119</v>
      </c>
      <c r="C296" t="s">
        <v>63</v>
      </c>
      <c r="D296" t="s">
        <v>23</v>
      </c>
      <c r="E296" t="s">
        <v>249</v>
      </c>
      <c r="F296">
        <v>128610</v>
      </c>
      <c r="G296">
        <v>1653</v>
      </c>
      <c r="H296">
        <v>1062</v>
      </c>
      <c r="I296">
        <v>0.05</v>
      </c>
      <c r="J296">
        <v>52695</v>
      </c>
      <c r="K296">
        <v>105.4</v>
      </c>
      <c r="L296">
        <v>101.8</v>
      </c>
      <c r="N296">
        <v>20</v>
      </c>
      <c r="Q296">
        <v>1.4</v>
      </c>
      <c r="R296">
        <v>44.627200000000002</v>
      </c>
      <c r="S296">
        <v>-123.09650000000001</v>
      </c>
    </row>
    <row r="297" spans="1:19" x14ac:dyDescent="0.15">
      <c r="A297">
        <v>295</v>
      </c>
      <c r="B297" t="s">
        <v>348</v>
      </c>
      <c r="C297" t="s">
        <v>87</v>
      </c>
      <c r="D297" t="s">
        <v>29</v>
      </c>
      <c r="E297" t="s">
        <v>249</v>
      </c>
      <c r="F297">
        <v>126652</v>
      </c>
      <c r="G297">
        <v>927</v>
      </c>
      <c r="H297">
        <v>677</v>
      </c>
      <c r="I297">
        <v>3.2000000000000001E-2</v>
      </c>
      <c r="J297">
        <v>47807</v>
      </c>
      <c r="K297">
        <v>82.8</v>
      </c>
      <c r="L297">
        <v>87.48</v>
      </c>
      <c r="M297">
        <v>16</v>
      </c>
      <c r="N297">
        <v>45</v>
      </c>
      <c r="Q297">
        <v>0</v>
      </c>
      <c r="R297">
        <v>34.6175</v>
      </c>
      <c r="S297">
        <v>-98.420199999999994</v>
      </c>
    </row>
    <row r="298" spans="1:19" x14ac:dyDescent="0.15">
      <c r="A298">
        <v>296</v>
      </c>
      <c r="B298" t="s">
        <v>75</v>
      </c>
      <c r="C298" t="s">
        <v>78</v>
      </c>
      <c r="D298" t="s">
        <v>29</v>
      </c>
      <c r="E298" t="s">
        <v>249</v>
      </c>
      <c r="F298">
        <v>126164</v>
      </c>
      <c r="G298">
        <v>1328</v>
      </c>
      <c r="H298">
        <v>754</v>
      </c>
      <c r="I298">
        <v>3.1E-2</v>
      </c>
      <c r="J298">
        <v>45404</v>
      </c>
      <c r="K298">
        <v>89.5</v>
      </c>
      <c r="L298">
        <v>88.02</v>
      </c>
      <c r="Q298">
        <v>0</v>
      </c>
      <c r="R298">
        <v>35.181699999999999</v>
      </c>
      <c r="S298">
        <v>-84.870699999999999</v>
      </c>
    </row>
    <row r="299" spans="1:19" x14ac:dyDescent="0.15">
      <c r="A299">
        <v>297</v>
      </c>
      <c r="B299" t="s">
        <v>349</v>
      </c>
      <c r="C299" t="s">
        <v>42</v>
      </c>
      <c r="D299" t="s">
        <v>23</v>
      </c>
      <c r="E299" t="s">
        <v>249</v>
      </c>
      <c r="F299">
        <v>125447</v>
      </c>
      <c r="G299">
        <v>1464</v>
      </c>
      <c r="H299">
        <v>825</v>
      </c>
      <c r="I299">
        <v>3.6000000000000004E-2</v>
      </c>
      <c r="J299">
        <v>49096</v>
      </c>
      <c r="K299">
        <v>93.2</v>
      </c>
      <c r="L299">
        <v>88.13</v>
      </c>
      <c r="N299">
        <v>45</v>
      </c>
      <c r="Q299">
        <v>0.7</v>
      </c>
      <c r="R299">
        <v>31.562999999999999</v>
      </c>
      <c r="S299">
        <v>-110.31529999999999</v>
      </c>
    </row>
    <row r="300" spans="1:19" x14ac:dyDescent="0.15">
      <c r="A300">
        <v>298</v>
      </c>
      <c r="B300" t="s">
        <v>350</v>
      </c>
      <c r="C300" t="s">
        <v>80</v>
      </c>
      <c r="D300" t="s">
        <v>29</v>
      </c>
      <c r="E300" t="s">
        <v>249</v>
      </c>
      <c r="F300">
        <v>125433</v>
      </c>
      <c r="G300">
        <v>1077</v>
      </c>
      <c r="H300">
        <v>880</v>
      </c>
      <c r="I300">
        <v>2.3E-2</v>
      </c>
      <c r="J300">
        <v>51965</v>
      </c>
      <c r="K300">
        <v>94.5</v>
      </c>
      <c r="L300">
        <v>92.9</v>
      </c>
      <c r="Q300">
        <v>0.1</v>
      </c>
      <c r="R300">
        <v>38.159300000000002</v>
      </c>
      <c r="S300">
        <v>-79.061099999999996</v>
      </c>
    </row>
    <row r="301" spans="1:19" x14ac:dyDescent="0.15">
      <c r="A301">
        <v>299</v>
      </c>
      <c r="B301" t="s">
        <v>351</v>
      </c>
      <c r="C301" t="s">
        <v>139</v>
      </c>
      <c r="D301" t="s">
        <v>26</v>
      </c>
      <c r="E301" t="s">
        <v>249</v>
      </c>
      <c r="F301">
        <v>125252</v>
      </c>
      <c r="G301">
        <v>1111</v>
      </c>
      <c r="H301">
        <v>914</v>
      </c>
      <c r="I301">
        <v>1.9E-2</v>
      </c>
      <c r="J301">
        <v>49320</v>
      </c>
      <c r="K301">
        <v>91.5</v>
      </c>
      <c r="L301">
        <v>91.26</v>
      </c>
      <c r="M301">
        <v>17.600000000000001</v>
      </c>
      <c r="Q301">
        <v>4.2</v>
      </c>
      <c r="R301">
        <v>42.025599999999997</v>
      </c>
      <c r="S301">
        <v>-93.621700000000004</v>
      </c>
    </row>
    <row r="302" spans="1:19" x14ac:dyDescent="0.15">
      <c r="A302">
        <v>300</v>
      </c>
      <c r="B302" t="s">
        <v>352</v>
      </c>
      <c r="C302" t="s">
        <v>70</v>
      </c>
      <c r="D302" t="s">
        <v>26</v>
      </c>
      <c r="E302" t="s">
        <v>249</v>
      </c>
      <c r="F302">
        <v>124936</v>
      </c>
      <c r="G302">
        <v>1635</v>
      </c>
      <c r="H302">
        <v>662</v>
      </c>
      <c r="I302">
        <v>4.4000000000000004E-2</v>
      </c>
      <c r="J302">
        <v>46366</v>
      </c>
      <c r="K302">
        <v>86.2</v>
      </c>
      <c r="L302">
        <v>88.59</v>
      </c>
      <c r="Q302">
        <v>1.1000000000000001</v>
      </c>
      <c r="R302">
        <v>40.765599999999999</v>
      </c>
      <c r="S302">
        <v>-82.527500000000003</v>
      </c>
    </row>
    <row r="303" spans="1:19" x14ac:dyDescent="0.15">
      <c r="A303">
        <v>301</v>
      </c>
      <c r="B303" t="s">
        <v>353</v>
      </c>
      <c r="C303" t="s">
        <v>28</v>
      </c>
      <c r="D303" t="s">
        <v>29</v>
      </c>
      <c r="E303" t="s">
        <v>249</v>
      </c>
      <c r="F303">
        <v>122888</v>
      </c>
      <c r="G303">
        <v>1301</v>
      </c>
      <c r="H303">
        <v>903</v>
      </c>
      <c r="I303">
        <v>0.03</v>
      </c>
      <c r="J303">
        <v>60187</v>
      </c>
      <c r="K303">
        <v>90.7</v>
      </c>
      <c r="L303">
        <v>92.06</v>
      </c>
      <c r="Q303">
        <v>1.5</v>
      </c>
      <c r="R303">
        <v>31.442399999999999</v>
      </c>
      <c r="S303">
        <v>-100.4504</v>
      </c>
    </row>
    <row r="304" spans="1:19" x14ac:dyDescent="0.15">
      <c r="A304">
        <v>302</v>
      </c>
      <c r="B304" t="s">
        <v>354</v>
      </c>
      <c r="C304" t="s">
        <v>60</v>
      </c>
      <c r="D304" t="s">
        <v>29</v>
      </c>
      <c r="E304" t="s">
        <v>249</v>
      </c>
      <c r="F304">
        <v>122168</v>
      </c>
      <c r="G304">
        <v>1493</v>
      </c>
      <c r="I304">
        <v>3.2000000000000001E-2</v>
      </c>
      <c r="J304">
        <v>53762</v>
      </c>
      <c r="K304">
        <v>90.2</v>
      </c>
      <c r="L304">
        <v>91.24</v>
      </c>
      <c r="M304">
        <v>24.6</v>
      </c>
      <c r="Q304">
        <v>0.4</v>
      </c>
      <c r="R304">
        <v>35.095500000000001</v>
      </c>
      <c r="S304">
        <v>-77.072299999999998</v>
      </c>
    </row>
    <row r="305" spans="1:19" x14ac:dyDescent="0.15">
      <c r="A305">
        <v>303</v>
      </c>
      <c r="B305" t="s">
        <v>355</v>
      </c>
      <c r="C305" t="s">
        <v>31</v>
      </c>
      <c r="D305" t="s">
        <v>23</v>
      </c>
      <c r="E305" t="s">
        <v>249</v>
      </c>
      <c r="F305">
        <v>122012</v>
      </c>
      <c r="G305">
        <v>1643</v>
      </c>
      <c r="H305">
        <v>1096</v>
      </c>
      <c r="I305">
        <v>6.0999999999999999E-2</v>
      </c>
      <c r="J305">
        <v>58009</v>
      </c>
      <c r="K305">
        <v>106.6</v>
      </c>
      <c r="L305">
        <v>103.11</v>
      </c>
      <c r="M305">
        <v>18.2</v>
      </c>
      <c r="N305">
        <v>18</v>
      </c>
      <c r="Q305">
        <v>3.2</v>
      </c>
      <c r="R305">
        <v>47.436</v>
      </c>
      <c r="S305">
        <v>-120.3295</v>
      </c>
    </row>
    <row r="306" spans="1:19" x14ac:dyDescent="0.15">
      <c r="A306">
        <v>304</v>
      </c>
      <c r="B306" t="s">
        <v>356</v>
      </c>
      <c r="C306" t="s">
        <v>117</v>
      </c>
      <c r="D306" t="s">
        <v>23</v>
      </c>
      <c r="E306" t="s">
        <v>249</v>
      </c>
      <c r="F306">
        <v>121661</v>
      </c>
      <c r="G306">
        <v>1475</v>
      </c>
      <c r="H306">
        <v>806</v>
      </c>
      <c r="I306">
        <v>4.0999999999999995E-2</v>
      </c>
      <c r="J306">
        <v>41735</v>
      </c>
      <c r="K306">
        <v>88.4</v>
      </c>
      <c r="L306">
        <v>89.46</v>
      </c>
      <c r="M306">
        <v>25.5</v>
      </c>
      <c r="N306">
        <v>50</v>
      </c>
      <c r="Q306">
        <v>1</v>
      </c>
      <c r="R306">
        <v>36.755499999999998</v>
      </c>
      <c r="S306">
        <v>-108.1823</v>
      </c>
    </row>
    <row r="307" spans="1:19" x14ac:dyDescent="0.15">
      <c r="A307">
        <v>305</v>
      </c>
      <c r="B307" t="s">
        <v>357</v>
      </c>
      <c r="C307" t="s">
        <v>149</v>
      </c>
      <c r="D307" t="s">
        <v>26</v>
      </c>
      <c r="E307" t="s">
        <v>249</v>
      </c>
      <c r="F307">
        <v>118785</v>
      </c>
      <c r="G307">
        <v>1454</v>
      </c>
      <c r="H307">
        <v>900</v>
      </c>
      <c r="I307">
        <v>2.6000000000000002E-2</v>
      </c>
      <c r="J307">
        <v>51703</v>
      </c>
      <c r="K307">
        <v>91.6</v>
      </c>
      <c r="L307">
        <v>92.69</v>
      </c>
      <c r="M307">
        <v>20.6</v>
      </c>
      <c r="Q307">
        <v>4.3</v>
      </c>
      <c r="R307">
        <v>38.959699999999998</v>
      </c>
      <c r="S307">
        <v>-95.264200000000002</v>
      </c>
    </row>
    <row r="308" spans="1:19" x14ac:dyDescent="0.15">
      <c r="A308">
        <v>306</v>
      </c>
      <c r="B308" t="s">
        <v>358</v>
      </c>
      <c r="C308" t="s">
        <v>85</v>
      </c>
      <c r="D308" t="s">
        <v>26</v>
      </c>
      <c r="E308" t="s">
        <v>249</v>
      </c>
      <c r="F308">
        <v>118034</v>
      </c>
      <c r="G308">
        <v>887</v>
      </c>
      <c r="H308">
        <v>769</v>
      </c>
      <c r="I308">
        <v>1.8000000000000002E-2</v>
      </c>
      <c r="J308">
        <v>58425</v>
      </c>
      <c r="K308">
        <v>89.7</v>
      </c>
      <c r="L308">
        <v>93.3</v>
      </c>
      <c r="M308">
        <v>18.5</v>
      </c>
      <c r="N308">
        <v>41</v>
      </c>
      <c r="Q308">
        <v>2.2999999999999998</v>
      </c>
      <c r="R308">
        <v>43.740299999999998</v>
      </c>
      <c r="S308">
        <v>-87.7316</v>
      </c>
    </row>
    <row r="309" spans="1:19" x14ac:dyDescent="0.15">
      <c r="A309">
        <v>307</v>
      </c>
      <c r="B309" t="s">
        <v>359</v>
      </c>
      <c r="C309" t="s">
        <v>281</v>
      </c>
      <c r="D309" t="s">
        <v>23</v>
      </c>
      <c r="E309" t="s">
        <v>249</v>
      </c>
      <c r="F309">
        <v>117922</v>
      </c>
      <c r="G309">
        <v>1627</v>
      </c>
      <c r="H309">
        <v>968</v>
      </c>
      <c r="I309">
        <v>2.4E-2</v>
      </c>
      <c r="J309">
        <v>61881</v>
      </c>
      <c r="K309">
        <v>103.4</v>
      </c>
      <c r="L309">
        <v>94.72</v>
      </c>
      <c r="M309">
        <v>18.7</v>
      </c>
      <c r="N309">
        <v>43</v>
      </c>
      <c r="Q309">
        <v>3.5</v>
      </c>
      <c r="R309">
        <v>46.875100000000003</v>
      </c>
      <c r="S309">
        <v>-114.0214</v>
      </c>
    </row>
    <row r="310" spans="1:19" x14ac:dyDescent="0.15">
      <c r="A310">
        <v>308</v>
      </c>
      <c r="B310" t="s">
        <v>360</v>
      </c>
      <c r="C310" t="s">
        <v>208</v>
      </c>
      <c r="D310" t="s">
        <v>29</v>
      </c>
      <c r="E310" t="s">
        <v>249</v>
      </c>
      <c r="F310">
        <v>116903</v>
      </c>
      <c r="G310">
        <v>735</v>
      </c>
      <c r="H310">
        <v>666</v>
      </c>
      <c r="I310">
        <v>4.8000000000000001E-2</v>
      </c>
      <c r="J310">
        <v>48558</v>
      </c>
      <c r="K310">
        <v>82.6</v>
      </c>
      <c r="L310">
        <v>89.2</v>
      </c>
      <c r="M310">
        <v>24</v>
      </c>
      <c r="N310">
        <v>44</v>
      </c>
      <c r="Q310">
        <v>0.1</v>
      </c>
      <c r="R310">
        <v>40.405999999999999</v>
      </c>
      <c r="S310">
        <v>-80.567099999999996</v>
      </c>
    </row>
    <row r="311" spans="1:19" x14ac:dyDescent="0.15">
      <c r="A311">
        <v>309</v>
      </c>
      <c r="B311" t="s">
        <v>361</v>
      </c>
      <c r="C311" t="s">
        <v>18</v>
      </c>
      <c r="D311" t="s">
        <v>19</v>
      </c>
      <c r="E311" t="s">
        <v>249</v>
      </c>
      <c r="F311">
        <v>116721</v>
      </c>
      <c r="G311">
        <v>1313</v>
      </c>
      <c r="H311">
        <v>1013</v>
      </c>
      <c r="I311">
        <v>3.9E-2</v>
      </c>
      <c r="J311">
        <v>53130</v>
      </c>
      <c r="K311">
        <v>96.4</v>
      </c>
      <c r="L311">
        <v>93.96</v>
      </c>
      <c r="N311">
        <v>34</v>
      </c>
      <c r="Q311">
        <v>0</v>
      </c>
      <c r="R311">
        <v>43.973399999999998</v>
      </c>
      <c r="S311">
        <v>-75.909400000000005</v>
      </c>
    </row>
    <row r="312" spans="1:19" x14ac:dyDescent="0.15">
      <c r="A312">
        <v>310</v>
      </c>
      <c r="B312" t="s">
        <v>22</v>
      </c>
      <c r="C312" t="s">
        <v>55</v>
      </c>
      <c r="D312" t="s">
        <v>19</v>
      </c>
      <c r="E312" t="s">
        <v>249</v>
      </c>
      <c r="F312">
        <v>113777</v>
      </c>
      <c r="G312">
        <v>1904</v>
      </c>
      <c r="H312">
        <v>1405</v>
      </c>
      <c r="I312">
        <v>2.8999999999999998E-2</v>
      </c>
      <c r="J312">
        <v>65762</v>
      </c>
      <c r="K312">
        <v>104.8</v>
      </c>
      <c r="L312">
        <v>96.45</v>
      </c>
      <c r="M312">
        <v>34.5</v>
      </c>
      <c r="Q312">
        <v>1.6</v>
      </c>
      <c r="R312">
        <v>38.296900000000001</v>
      </c>
      <c r="S312">
        <v>-76.494900000000001</v>
      </c>
    </row>
    <row r="313" spans="1:19" x14ac:dyDescent="0.15">
      <c r="A313">
        <v>311</v>
      </c>
      <c r="B313" t="s">
        <v>362</v>
      </c>
      <c r="C313" t="s">
        <v>38</v>
      </c>
      <c r="D313" t="s">
        <v>29</v>
      </c>
      <c r="E313" t="s">
        <v>249</v>
      </c>
      <c r="F313">
        <v>113495</v>
      </c>
      <c r="G313">
        <v>1531</v>
      </c>
      <c r="H313">
        <v>875</v>
      </c>
      <c r="I313">
        <v>2.6000000000000002E-2</v>
      </c>
      <c r="J313">
        <v>51400</v>
      </c>
      <c r="K313">
        <v>94.4</v>
      </c>
      <c r="L313">
        <v>90.14</v>
      </c>
      <c r="N313">
        <v>37</v>
      </c>
      <c r="Q313">
        <v>0</v>
      </c>
      <c r="R313">
        <v>31.1449</v>
      </c>
      <c r="S313">
        <v>-81.474599999999995</v>
      </c>
    </row>
    <row r="314" spans="1:19" x14ac:dyDescent="0.15">
      <c r="A314">
        <v>312</v>
      </c>
      <c r="B314" t="s">
        <v>363</v>
      </c>
      <c r="C314" t="s">
        <v>74</v>
      </c>
      <c r="D314" t="s">
        <v>26</v>
      </c>
      <c r="E314" t="s">
        <v>249</v>
      </c>
      <c r="F314">
        <v>112417</v>
      </c>
      <c r="G314">
        <v>1028</v>
      </c>
      <c r="H314">
        <v>790</v>
      </c>
      <c r="I314">
        <v>3.3000000000000002E-2</v>
      </c>
      <c r="J314">
        <v>49508</v>
      </c>
      <c r="K314">
        <v>87.8</v>
      </c>
      <c r="L314">
        <v>90.94</v>
      </c>
      <c r="N314">
        <v>38</v>
      </c>
      <c r="Q314">
        <v>0.7</v>
      </c>
      <c r="R314">
        <v>41.709200000000003</v>
      </c>
      <c r="S314">
        <v>-86.869</v>
      </c>
    </row>
    <row r="315" spans="1:19" x14ac:dyDescent="0.15">
      <c r="A315">
        <v>313</v>
      </c>
      <c r="B315" t="s">
        <v>364</v>
      </c>
      <c r="C315" t="s">
        <v>74</v>
      </c>
      <c r="D315" t="s">
        <v>26</v>
      </c>
      <c r="E315" t="s">
        <v>249</v>
      </c>
      <c r="F315">
        <v>111903</v>
      </c>
      <c r="G315">
        <v>993</v>
      </c>
      <c r="H315">
        <v>740</v>
      </c>
      <c r="I315">
        <v>2.4E-2</v>
      </c>
      <c r="J315">
        <v>45325</v>
      </c>
      <c r="K315">
        <v>83.7</v>
      </c>
      <c r="L315">
        <v>89.13</v>
      </c>
      <c r="M315">
        <v>20.100000000000001</v>
      </c>
      <c r="N315">
        <v>39</v>
      </c>
      <c r="Q315">
        <v>3</v>
      </c>
      <c r="R315">
        <v>40.198900000000002</v>
      </c>
      <c r="S315">
        <v>-85.394999999999996</v>
      </c>
    </row>
    <row r="316" spans="1:19" x14ac:dyDescent="0.15">
      <c r="A316">
        <v>314</v>
      </c>
      <c r="B316" t="s">
        <v>365</v>
      </c>
      <c r="C316" t="s">
        <v>161</v>
      </c>
      <c r="D316" t="s">
        <v>19</v>
      </c>
      <c r="E316" t="s">
        <v>249</v>
      </c>
      <c r="F316">
        <v>111139</v>
      </c>
      <c r="G316">
        <v>990</v>
      </c>
      <c r="H316">
        <v>869</v>
      </c>
      <c r="I316">
        <v>0</v>
      </c>
      <c r="J316">
        <v>49766</v>
      </c>
      <c r="K316">
        <v>99.7</v>
      </c>
      <c r="L316">
        <v>93.99</v>
      </c>
      <c r="N316">
        <v>31</v>
      </c>
      <c r="Q316">
        <v>1.2</v>
      </c>
      <c r="R316">
        <v>44.091500000000003</v>
      </c>
      <c r="S316">
        <v>-70.168099999999995</v>
      </c>
    </row>
    <row r="317" spans="1:19" x14ac:dyDescent="0.15">
      <c r="A317">
        <v>315</v>
      </c>
      <c r="B317" t="s">
        <v>229</v>
      </c>
      <c r="C317" t="s">
        <v>31</v>
      </c>
      <c r="D317" t="s">
        <v>23</v>
      </c>
      <c r="E317" t="s">
        <v>249</v>
      </c>
      <c r="F317">
        <v>110730</v>
      </c>
      <c r="G317">
        <v>1775</v>
      </c>
      <c r="H317">
        <v>943</v>
      </c>
      <c r="I317">
        <v>5.7999999999999996E-2</v>
      </c>
      <c r="J317">
        <v>54550</v>
      </c>
      <c r="K317">
        <v>101.6</v>
      </c>
      <c r="L317">
        <v>98.79</v>
      </c>
      <c r="N317">
        <v>13</v>
      </c>
      <c r="Q317">
        <v>2</v>
      </c>
      <c r="R317">
        <v>46.146099999999997</v>
      </c>
      <c r="S317">
        <v>-122.96299999999999</v>
      </c>
    </row>
    <row r="318" spans="1:19" x14ac:dyDescent="0.15">
      <c r="A318">
        <v>316</v>
      </c>
      <c r="B318" t="s">
        <v>366</v>
      </c>
      <c r="C318" t="s">
        <v>25</v>
      </c>
      <c r="D318" t="s">
        <v>26</v>
      </c>
      <c r="E318" t="s">
        <v>249</v>
      </c>
      <c r="F318">
        <v>107502</v>
      </c>
      <c r="G318">
        <v>1150</v>
      </c>
      <c r="H318">
        <v>867</v>
      </c>
      <c r="I318">
        <v>5.0999999999999997E-2</v>
      </c>
      <c r="J318">
        <v>53165</v>
      </c>
      <c r="K318">
        <v>91</v>
      </c>
      <c r="L318">
        <v>92.21</v>
      </c>
      <c r="M318">
        <v>24.5</v>
      </c>
      <c r="Q318">
        <v>2.5</v>
      </c>
      <c r="R318">
        <v>41.101999999999997</v>
      </c>
      <c r="S318">
        <v>-87.8643</v>
      </c>
    </row>
    <row r="319" spans="1:19" x14ac:dyDescent="0.15">
      <c r="A319">
        <v>317</v>
      </c>
      <c r="B319" t="s">
        <v>367</v>
      </c>
      <c r="C319" t="s">
        <v>18</v>
      </c>
      <c r="D319" t="s">
        <v>19</v>
      </c>
      <c r="E319" t="s">
        <v>249</v>
      </c>
      <c r="F319">
        <v>105740</v>
      </c>
      <c r="G319">
        <v>1916</v>
      </c>
      <c r="H319">
        <v>1406</v>
      </c>
      <c r="I319">
        <v>2.4E-2</v>
      </c>
      <c r="J319">
        <v>51377</v>
      </c>
      <c r="K319">
        <v>101.7</v>
      </c>
      <c r="L319">
        <v>102.35</v>
      </c>
      <c r="M319">
        <v>17</v>
      </c>
      <c r="N319">
        <v>39</v>
      </c>
      <c r="Q319">
        <v>3.3</v>
      </c>
      <c r="R319">
        <v>42.444200000000002</v>
      </c>
      <c r="S319">
        <v>-76.503200000000007</v>
      </c>
    </row>
    <row r="320" spans="1:19" x14ac:dyDescent="0.15">
      <c r="A320">
        <v>318</v>
      </c>
      <c r="B320" t="s">
        <v>368</v>
      </c>
      <c r="C320" t="s">
        <v>248</v>
      </c>
      <c r="D320" t="s">
        <v>26</v>
      </c>
      <c r="E320" t="s">
        <v>249</v>
      </c>
      <c r="F320">
        <v>104362</v>
      </c>
      <c r="G320">
        <v>913</v>
      </c>
      <c r="H320">
        <v>750</v>
      </c>
      <c r="I320">
        <v>2.3E-2</v>
      </c>
      <c r="J320">
        <v>58295</v>
      </c>
      <c r="K320">
        <v>90.7</v>
      </c>
      <c r="L320">
        <v>90.09</v>
      </c>
      <c r="M320">
        <v>16.399999999999999</v>
      </c>
      <c r="Q320">
        <v>2.5</v>
      </c>
      <c r="R320">
        <v>47.921399999999998</v>
      </c>
      <c r="S320">
        <v>-97.088399999999993</v>
      </c>
    </row>
    <row r="321" spans="1:19" x14ac:dyDescent="0.15">
      <c r="A321">
        <v>319</v>
      </c>
      <c r="B321" t="s">
        <v>369</v>
      </c>
      <c r="C321" t="s">
        <v>85</v>
      </c>
      <c r="D321" t="s">
        <v>26</v>
      </c>
      <c r="E321" t="s">
        <v>249</v>
      </c>
      <c r="F321">
        <v>104154</v>
      </c>
      <c r="G321">
        <v>994</v>
      </c>
      <c r="H321">
        <v>772</v>
      </c>
      <c r="I321">
        <v>1.8000000000000002E-2</v>
      </c>
      <c r="J321">
        <v>56378</v>
      </c>
      <c r="K321">
        <v>88</v>
      </c>
      <c r="L321">
        <v>92.22</v>
      </c>
      <c r="N321">
        <v>37</v>
      </c>
      <c r="Q321">
        <v>1.4</v>
      </c>
      <c r="R321">
        <v>43.771799999999999</v>
      </c>
      <c r="S321">
        <v>-88.439700000000002</v>
      </c>
    </row>
    <row r="322" spans="1:19" x14ac:dyDescent="0.15">
      <c r="A322">
        <v>320</v>
      </c>
      <c r="B322" t="s">
        <v>370</v>
      </c>
      <c r="C322" t="s">
        <v>36</v>
      </c>
      <c r="D322" t="s">
        <v>29</v>
      </c>
      <c r="E322" t="s">
        <v>249</v>
      </c>
      <c r="F322">
        <v>101235</v>
      </c>
      <c r="G322">
        <v>1313</v>
      </c>
      <c r="H322">
        <v>830</v>
      </c>
      <c r="I322">
        <v>3.6000000000000004E-2</v>
      </c>
      <c r="J322">
        <v>41568</v>
      </c>
      <c r="K322">
        <v>93.1</v>
      </c>
      <c r="L322">
        <v>90.02</v>
      </c>
      <c r="N322">
        <v>39</v>
      </c>
      <c r="Q322">
        <v>0.1</v>
      </c>
      <c r="R322">
        <v>27.477</v>
      </c>
      <c r="S322">
        <v>-81.453000000000003</v>
      </c>
    </row>
    <row r="323" spans="1:19" x14ac:dyDescent="0.15">
      <c r="A323">
        <v>321</v>
      </c>
      <c r="B323" t="s">
        <v>371</v>
      </c>
      <c r="C323" t="s">
        <v>372</v>
      </c>
      <c r="D323" t="s">
        <v>23</v>
      </c>
      <c r="E323" t="s">
        <v>249</v>
      </c>
      <c r="F323">
        <v>100512</v>
      </c>
      <c r="G323">
        <v>1310</v>
      </c>
      <c r="H323">
        <v>797</v>
      </c>
      <c r="I323">
        <v>3.3000000000000002E-2</v>
      </c>
      <c r="J323">
        <v>58646</v>
      </c>
      <c r="K323">
        <v>96.9</v>
      </c>
      <c r="L323">
        <v>92.85</v>
      </c>
      <c r="N323">
        <v>43</v>
      </c>
      <c r="Q323">
        <v>2</v>
      </c>
      <c r="R323">
        <v>41.134999999999998</v>
      </c>
      <c r="S323">
        <v>-104.7902</v>
      </c>
    </row>
    <row r="324" spans="1:19" x14ac:dyDescent="0.15">
      <c r="A324">
        <v>322</v>
      </c>
      <c r="B324" t="s">
        <v>373</v>
      </c>
      <c r="C324" t="s">
        <v>136</v>
      </c>
      <c r="D324" t="s">
        <v>29</v>
      </c>
      <c r="E324" t="s">
        <v>249</v>
      </c>
      <c r="F324">
        <v>100180</v>
      </c>
      <c r="G324">
        <v>1034</v>
      </c>
      <c r="H324">
        <v>711</v>
      </c>
      <c r="I324">
        <v>3.5000000000000003E-2</v>
      </c>
      <c r="J324">
        <v>46897</v>
      </c>
      <c r="K324">
        <v>87.3</v>
      </c>
      <c r="L324">
        <v>89.21</v>
      </c>
      <c r="N324">
        <v>33</v>
      </c>
      <c r="Q324">
        <v>0.9</v>
      </c>
      <c r="R324">
        <v>34.489199999999997</v>
      </c>
      <c r="S324">
        <v>-93.0501</v>
      </c>
    </row>
    <row r="325" spans="1:19" x14ac:dyDescent="0.15">
      <c r="A325">
        <v>323</v>
      </c>
      <c r="B325" t="s">
        <v>374</v>
      </c>
      <c r="C325" t="s">
        <v>139</v>
      </c>
      <c r="D325" t="s">
        <v>26</v>
      </c>
      <c r="E325" t="s">
        <v>249</v>
      </c>
      <c r="F325">
        <v>99266</v>
      </c>
      <c r="G325">
        <v>947</v>
      </c>
      <c r="H325">
        <v>751</v>
      </c>
      <c r="I325">
        <v>3.2000000000000001E-2</v>
      </c>
      <c r="J325">
        <v>56782</v>
      </c>
      <c r="K325">
        <v>89.6</v>
      </c>
      <c r="L325">
        <v>87.93</v>
      </c>
      <c r="M325">
        <v>16</v>
      </c>
      <c r="Q325">
        <v>3.1</v>
      </c>
      <c r="R325">
        <v>42.5002</v>
      </c>
      <c r="S325">
        <v>-90.706999999999994</v>
      </c>
    </row>
    <row r="326" spans="1:19" x14ac:dyDescent="0.15">
      <c r="A326">
        <v>324</v>
      </c>
      <c r="B326" t="s">
        <v>375</v>
      </c>
      <c r="C326" t="s">
        <v>28</v>
      </c>
      <c r="D326" t="s">
        <v>29</v>
      </c>
      <c r="E326" t="s">
        <v>249</v>
      </c>
      <c r="F326">
        <v>98331</v>
      </c>
      <c r="G326">
        <v>1167</v>
      </c>
      <c r="H326">
        <v>1002</v>
      </c>
      <c r="I326">
        <v>3.7999999999999999E-2</v>
      </c>
      <c r="J326">
        <v>58294</v>
      </c>
      <c r="K326">
        <v>89.5</v>
      </c>
      <c r="L326">
        <v>92.09</v>
      </c>
      <c r="N326">
        <v>34</v>
      </c>
      <c r="Q326">
        <v>2.1</v>
      </c>
      <c r="R326">
        <v>28.828700000000001</v>
      </c>
      <c r="S326">
        <v>-96.984899999999996</v>
      </c>
    </row>
    <row r="327" spans="1:19" x14ac:dyDescent="0.15">
      <c r="A327">
        <v>325</v>
      </c>
      <c r="B327" t="s">
        <v>376</v>
      </c>
      <c r="C327" t="s">
        <v>57</v>
      </c>
      <c r="D327" t="s">
        <v>26</v>
      </c>
      <c r="E327" t="s">
        <v>249</v>
      </c>
      <c r="F327">
        <v>97517</v>
      </c>
      <c r="G327">
        <v>979</v>
      </c>
      <c r="H327">
        <v>730</v>
      </c>
      <c r="I327">
        <v>2.2000000000000002E-2</v>
      </c>
      <c r="J327">
        <v>48447</v>
      </c>
      <c r="K327">
        <v>88.1</v>
      </c>
      <c r="L327">
        <v>88.56</v>
      </c>
      <c r="Q327">
        <v>0</v>
      </c>
      <c r="R327">
        <v>37.310899999999997</v>
      </c>
      <c r="S327">
        <v>-89.559700000000007</v>
      </c>
    </row>
    <row r="328" spans="1:19" x14ac:dyDescent="0.15">
      <c r="A328">
        <v>326</v>
      </c>
      <c r="B328" t="s">
        <v>377</v>
      </c>
      <c r="C328" t="s">
        <v>194</v>
      </c>
      <c r="D328" t="s">
        <v>23</v>
      </c>
      <c r="E328" t="s">
        <v>249</v>
      </c>
      <c r="F328">
        <v>95655</v>
      </c>
      <c r="G328">
        <v>1605</v>
      </c>
      <c r="H328">
        <v>1204</v>
      </c>
      <c r="I328">
        <v>3.6000000000000004E-2</v>
      </c>
      <c r="J328">
        <v>65314</v>
      </c>
      <c r="K328">
        <v>107.9</v>
      </c>
      <c r="L328">
        <v>103.94</v>
      </c>
      <c r="M328">
        <v>17.5</v>
      </c>
      <c r="N328">
        <v>39</v>
      </c>
      <c r="Q328">
        <v>2</v>
      </c>
      <c r="R328">
        <v>64.835300000000004</v>
      </c>
      <c r="S328">
        <v>-147.6533</v>
      </c>
    </row>
    <row r="329" spans="1:19" x14ac:dyDescent="0.15">
      <c r="A329">
        <v>327</v>
      </c>
      <c r="B329" t="s">
        <v>378</v>
      </c>
      <c r="C329" t="s">
        <v>63</v>
      </c>
      <c r="D329" t="s">
        <v>23</v>
      </c>
      <c r="E329" t="s">
        <v>249</v>
      </c>
      <c r="F329">
        <v>95184</v>
      </c>
      <c r="G329">
        <v>1885</v>
      </c>
      <c r="H329">
        <v>1239</v>
      </c>
      <c r="I329">
        <v>3.6000000000000004E-2</v>
      </c>
      <c r="J329">
        <v>54174</v>
      </c>
      <c r="K329">
        <v>110.6</v>
      </c>
      <c r="L329">
        <v>101.8</v>
      </c>
      <c r="M329">
        <v>19</v>
      </c>
      <c r="N329">
        <v>16</v>
      </c>
      <c r="Q329">
        <v>3</v>
      </c>
      <c r="R329">
        <v>44.569800000000001</v>
      </c>
      <c r="S329">
        <v>-123.2779</v>
      </c>
    </row>
    <row r="330" spans="1:19" x14ac:dyDescent="0.15">
      <c r="A330">
        <v>328</v>
      </c>
      <c r="B330" t="s">
        <v>379</v>
      </c>
      <c r="C330" t="s">
        <v>55</v>
      </c>
      <c r="D330" t="s">
        <v>19</v>
      </c>
      <c r="E330" t="s">
        <v>249</v>
      </c>
      <c r="F330">
        <v>95044</v>
      </c>
      <c r="G330">
        <v>872</v>
      </c>
      <c r="H330">
        <v>699</v>
      </c>
      <c r="I330">
        <v>0.04</v>
      </c>
      <c r="J330">
        <v>47576</v>
      </c>
      <c r="K330">
        <v>90.9</v>
      </c>
      <c r="L330">
        <v>91.24</v>
      </c>
      <c r="M330">
        <v>24.4</v>
      </c>
      <c r="Q330">
        <v>1.4</v>
      </c>
      <c r="R330">
        <v>39.651499999999999</v>
      </c>
      <c r="S330">
        <v>-78.758399999999995</v>
      </c>
    </row>
    <row r="331" spans="1:19" x14ac:dyDescent="0.15">
      <c r="A331">
        <v>329</v>
      </c>
      <c r="B331" t="s">
        <v>380</v>
      </c>
      <c r="C331" t="s">
        <v>299</v>
      </c>
      <c r="D331" t="s">
        <v>23</v>
      </c>
      <c r="E331" t="s">
        <v>249</v>
      </c>
      <c r="F331">
        <v>94896</v>
      </c>
      <c r="G331">
        <v>982</v>
      </c>
      <c r="H331">
        <v>715</v>
      </c>
      <c r="I331">
        <v>2.2000000000000002E-2</v>
      </c>
      <c r="J331">
        <v>45244</v>
      </c>
      <c r="K331">
        <v>90.8</v>
      </c>
      <c r="L331">
        <v>88.83</v>
      </c>
      <c r="M331">
        <v>17.100000000000001</v>
      </c>
      <c r="N331">
        <v>40</v>
      </c>
      <c r="Q331">
        <v>2.7</v>
      </c>
      <c r="R331">
        <v>42.872399999999999</v>
      </c>
      <c r="S331">
        <v>-112.46469999999999</v>
      </c>
    </row>
    <row r="332" spans="1:19" x14ac:dyDescent="0.15">
      <c r="A332">
        <v>330</v>
      </c>
      <c r="B332" t="s">
        <v>381</v>
      </c>
      <c r="C332" t="s">
        <v>208</v>
      </c>
      <c r="D332" t="s">
        <v>29</v>
      </c>
      <c r="E332" t="s">
        <v>249</v>
      </c>
      <c r="F332">
        <v>89490</v>
      </c>
      <c r="G332">
        <v>1045</v>
      </c>
      <c r="H332">
        <v>730</v>
      </c>
      <c r="I332">
        <v>3.7000000000000005E-2</v>
      </c>
      <c r="J332">
        <v>51674</v>
      </c>
      <c r="K332">
        <v>84.7</v>
      </c>
      <c r="L332">
        <v>89.47</v>
      </c>
      <c r="N332">
        <v>39</v>
      </c>
      <c r="Q332">
        <v>2.1</v>
      </c>
      <c r="R332">
        <v>39.262300000000003</v>
      </c>
      <c r="S332">
        <v>-81.542000000000002</v>
      </c>
    </row>
    <row r="333" spans="1:19" x14ac:dyDescent="0.15">
      <c r="A333">
        <v>331</v>
      </c>
      <c r="B333" t="s">
        <v>382</v>
      </c>
      <c r="C333" t="s">
        <v>63</v>
      </c>
      <c r="D333" t="s">
        <v>23</v>
      </c>
      <c r="E333" t="s">
        <v>249</v>
      </c>
      <c r="F333">
        <v>88090</v>
      </c>
      <c r="G333">
        <v>1799</v>
      </c>
      <c r="H333">
        <v>951</v>
      </c>
      <c r="I333">
        <v>6.5000000000000002E-2</v>
      </c>
      <c r="J333">
        <v>54466</v>
      </c>
      <c r="K333">
        <v>106.6</v>
      </c>
      <c r="L333">
        <v>98.64</v>
      </c>
      <c r="N333">
        <v>20</v>
      </c>
      <c r="Q333">
        <v>1.4</v>
      </c>
      <c r="R333">
        <v>42.433300000000003</v>
      </c>
      <c r="S333">
        <v>-123.3317</v>
      </c>
    </row>
    <row r="334" spans="1:19" x14ac:dyDescent="0.15">
      <c r="A334">
        <v>332</v>
      </c>
      <c r="B334" t="s">
        <v>383</v>
      </c>
      <c r="C334" t="s">
        <v>281</v>
      </c>
      <c r="D334" t="s">
        <v>23</v>
      </c>
      <c r="E334" t="s">
        <v>249</v>
      </c>
      <c r="F334">
        <v>84414</v>
      </c>
      <c r="G334">
        <v>1119</v>
      </c>
      <c r="H334">
        <v>743</v>
      </c>
      <c r="I334">
        <v>2.4E-2</v>
      </c>
      <c r="J334">
        <v>53765</v>
      </c>
      <c r="K334">
        <v>91.1</v>
      </c>
      <c r="L334">
        <v>87.18</v>
      </c>
      <c r="N334">
        <v>15</v>
      </c>
      <c r="Q334">
        <v>0</v>
      </c>
      <c r="R334">
        <v>47.502200000000002</v>
      </c>
      <c r="S334">
        <v>-111.2996</v>
      </c>
    </row>
    <row r="335" spans="1:19" x14ac:dyDescent="0.15">
      <c r="A335">
        <v>333</v>
      </c>
      <c r="B335" t="s">
        <v>384</v>
      </c>
      <c r="C335" t="s">
        <v>74</v>
      </c>
      <c r="D335" t="s">
        <v>26</v>
      </c>
      <c r="E335" t="s">
        <v>249</v>
      </c>
      <c r="F335">
        <v>83658</v>
      </c>
      <c r="G335">
        <v>814</v>
      </c>
      <c r="H335">
        <v>748</v>
      </c>
      <c r="I335">
        <v>4.2999999999999997E-2</v>
      </c>
      <c r="J335">
        <v>47031</v>
      </c>
      <c r="K335">
        <v>84.9</v>
      </c>
      <c r="L335">
        <v>90.81</v>
      </c>
      <c r="N335">
        <v>40</v>
      </c>
      <c r="Q335">
        <v>0</v>
      </c>
      <c r="R335">
        <v>40.463999999999999</v>
      </c>
      <c r="S335">
        <v>-86.127700000000004</v>
      </c>
    </row>
    <row r="336" spans="1:19" x14ac:dyDescent="0.15">
      <c r="A336">
        <v>334</v>
      </c>
      <c r="B336" t="s">
        <v>292</v>
      </c>
      <c r="C336" t="s">
        <v>46</v>
      </c>
      <c r="D336" t="s">
        <v>26</v>
      </c>
      <c r="E336" t="s">
        <v>249</v>
      </c>
      <c r="F336">
        <v>83494</v>
      </c>
      <c r="G336">
        <v>1465</v>
      </c>
      <c r="H336">
        <v>790</v>
      </c>
      <c r="I336">
        <v>4.0999999999999995E-2</v>
      </c>
      <c r="J336">
        <v>62055</v>
      </c>
      <c r="K336">
        <v>87</v>
      </c>
      <c r="L336">
        <v>91.66</v>
      </c>
      <c r="Q336">
        <v>0.3</v>
      </c>
      <c r="R336">
        <v>43.624099999999999</v>
      </c>
      <c r="S336">
        <v>-84.231899999999996</v>
      </c>
    </row>
    <row r="337" spans="1:19" x14ac:dyDescent="0.15">
      <c r="A337">
        <v>335</v>
      </c>
      <c r="B337" t="s">
        <v>385</v>
      </c>
      <c r="C337" t="s">
        <v>34</v>
      </c>
      <c r="D337" t="s">
        <v>19</v>
      </c>
      <c r="E337" t="s">
        <v>249</v>
      </c>
      <c r="F337">
        <v>82863</v>
      </c>
      <c r="G337">
        <v>1116</v>
      </c>
      <c r="I337">
        <v>3.6000000000000004E-2</v>
      </c>
      <c r="J337">
        <v>53309</v>
      </c>
      <c r="K337">
        <v>93.2</v>
      </c>
      <c r="L337">
        <v>89.78</v>
      </c>
      <c r="M337">
        <v>21</v>
      </c>
      <c r="Q337">
        <v>0</v>
      </c>
      <c r="R337">
        <v>41.002699999999997</v>
      </c>
      <c r="S337">
        <v>-76.456100000000006</v>
      </c>
    </row>
    <row r="338" spans="1:19" x14ac:dyDescent="0.15">
      <c r="A338">
        <v>336</v>
      </c>
      <c r="B338" t="s">
        <v>72</v>
      </c>
      <c r="C338" t="s">
        <v>74</v>
      </c>
      <c r="D338" t="s">
        <v>26</v>
      </c>
      <c r="E338" t="s">
        <v>249</v>
      </c>
      <c r="F338">
        <v>82208</v>
      </c>
      <c r="G338">
        <v>1144</v>
      </c>
      <c r="H338">
        <v>991</v>
      </c>
      <c r="I338">
        <v>1.9E-2</v>
      </c>
      <c r="J338">
        <v>61136</v>
      </c>
      <c r="K338">
        <v>89.1</v>
      </c>
      <c r="L338">
        <v>91.99</v>
      </c>
      <c r="N338">
        <v>41</v>
      </c>
      <c r="Q338">
        <v>0</v>
      </c>
      <c r="R338">
        <v>39.209299999999999</v>
      </c>
      <c r="S338">
        <v>-85.918300000000002</v>
      </c>
    </row>
    <row r="339" spans="1:19" x14ac:dyDescent="0.15">
      <c r="A339">
        <v>337</v>
      </c>
      <c r="B339" t="s">
        <v>386</v>
      </c>
      <c r="C339" t="s">
        <v>38</v>
      </c>
      <c r="D339" t="s">
        <v>29</v>
      </c>
      <c r="E339" t="s">
        <v>249</v>
      </c>
      <c r="F339">
        <v>81424</v>
      </c>
      <c r="G339">
        <v>1523</v>
      </c>
      <c r="H339">
        <v>1025</v>
      </c>
      <c r="I339">
        <v>2.7999999999999997E-2</v>
      </c>
      <c r="J339">
        <v>41012</v>
      </c>
      <c r="K339">
        <v>90.8</v>
      </c>
      <c r="L339">
        <v>93.58</v>
      </c>
      <c r="Q339">
        <v>0</v>
      </c>
      <c r="R339">
        <v>31.8248</v>
      </c>
      <c r="S339">
        <v>-81.613699999999994</v>
      </c>
    </row>
    <row r="340" spans="1:19" x14ac:dyDescent="0.15">
      <c r="A340">
        <v>338</v>
      </c>
      <c r="B340" t="s">
        <v>387</v>
      </c>
      <c r="C340" t="s">
        <v>372</v>
      </c>
      <c r="D340" t="s">
        <v>23</v>
      </c>
      <c r="E340" t="s">
        <v>249</v>
      </c>
      <c r="F340">
        <v>79955</v>
      </c>
      <c r="G340">
        <v>1122</v>
      </c>
      <c r="H340">
        <v>787</v>
      </c>
      <c r="I340">
        <v>3.9E-2</v>
      </c>
      <c r="J340">
        <v>70175</v>
      </c>
      <c r="K340">
        <v>94.2</v>
      </c>
      <c r="L340">
        <v>91.34</v>
      </c>
      <c r="N340">
        <v>43</v>
      </c>
      <c r="Q340">
        <v>1.8</v>
      </c>
      <c r="R340">
        <v>42.841999999999999</v>
      </c>
      <c r="S340">
        <v>-106.32080000000001</v>
      </c>
    </row>
    <row r="341" spans="1:19" x14ac:dyDescent="0.15">
      <c r="A341">
        <v>339</v>
      </c>
      <c r="B341" t="s">
        <v>388</v>
      </c>
      <c r="C341" t="s">
        <v>112</v>
      </c>
      <c r="D341" t="s">
        <v>26</v>
      </c>
      <c r="E341" t="s">
        <v>249</v>
      </c>
      <c r="F341">
        <v>77038</v>
      </c>
      <c r="G341">
        <v>860</v>
      </c>
      <c r="I341">
        <v>2.4E-2</v>
      </c>
      <c r="J341">
        <v>52472</v>
      </c>
      <c r="K341">
        <v>88.8</v>
      </c>
      <c r="L341">
        <v>88.9</v>
      </c>
      <c r="N341">
        <v>21</v>
      </c>
      <c r="Q341">
        <v>0</v>
      </c>
      <c r="R341">
        <v>40.921799999999998</v>
      </c>
      <c r="S341">
        <v>-98.358599999999996</v>
      </c>
    </row>
    <row r="342" spans="1:19" x14ac:dyDescent="0.15">
      <c r="A342">
        <v>340</v>
      </c>
      <c r="B342" t="s">
        <v>389</v>
      </c>
      <c r="C342" t="s">
        <v>25</v>
      </c>
      <c r="D342" t="s">
        <v>26</v>
      </c>
      <c r="E342" t="s">
        <v>249</v>
      </c>
      <c r="F342">
        <v>74188</v>
      </c>
      <c r="G342">
        <v>657</v>
      </c>
      <c r="H342">
        <v>705</v>
      </c>
      <c r="I342">
        <v>4.8000000000000001E-2</v>
      </c>
      <c r="J342">
        <v>49265</v>
      </c>
      <c r="K342">
        <v>83.9</v>
      </c>
      <c r="L342">
        <v>88.35</v>
      </c>
      <c r="Q342">
        <v>1.2</v>
      </c>
      <c r="R342">
        <v>40.142600000000002</v>
      </c>
      <c r="S342">
        <v>-87.611099999999993</v>
      </c>
    </row>
    <row r="343" spans="1:19" x14ac:dyDescent="0.15">
      <c r="A343">
        <v>341</v>
      </c>
      <c r="B343" t="s">
        <v>390</v>
      </c>
      <c r="C343" t="s">
        <v>87</v>
      </c>
      <c r="D343" t="s">
        <v>29</v>
      </c>
      <c r="E343" t="s">
        <v>249</v>
      </c>
      <c r="F343">
        <v>62846</v>
      </c>
      <c r="G343">
        <v>994</v>
      </c>
      <c r="H343">
        <v>723</v>
      </c>
      <c r="I343">
        <v>2.5000000000000001E-2</v>
      </c>
      <c r="J343">
        <v>48861</v>
      </c>
      <c r="K343">
        <v>82.9</v>
      </c>
      <c r="Q343">
        <v>0</v>
      </c>
      <c r="R343">
        <v>36.406300000000002</v>
      </c>
      <c r="S343">
        <v>-97.87</v>
      </c>
    </row>
    <row r="344" spans="1:19" x14ac:dyDescent="0.15">
      <c r="A344">
        <v>342</v>
      </c>
      <c r="B344" t="s">
        <v>391</v>
      </c>
      <c r="C344" t="s">
        <v>31</v>
      </c>
      <c r="D344" t="s">
        <v>23</v>
      </c>
      <c r="E344" t="s">
        <v>249</v>
      </c>
      <c r="F344">
        <v>62584</v>
      </c>
      <c r="G344">
        <v>1734</v>
      </c>
      <c r="H344">
        <v>1018</v>
      </c>
      <c r="I344">
        <v>4.9000000000000002E-2</v>
      </c>
      <c r="J344">
        <v>53845</v>
      </c>
      <c r="K344">
        <v>100.9</v>
      </c>
      <c r="L344">
        <v>99.17</v>
      </c>
      <c r="M344">
        <v>17.899999999999999</v>
      </c>
      <c r="N344">
        <v>37</v>
      </c>
      <c r="Q344">
        <v>2.8</v>
      </c>
      <c r="R344">
        <v>46.067100000000003</v>
      </c>
      <c r="S344">
        <v>-118.3368</v>
      </c>
    </row>
    <row r="345" spans="1:19" x14ac:dyDescent="0.15">
      <c r="A345">
        <v>343</v>
      </c>
      <c r="B345" t="s">
        <v>392</v>
      </c>
      <c r="C345" t="s">
        <v>68</v>
      </c>
      <c r="D345" t="s">
        <v>23</v>
      </c>
      <c r="E345" t="s">
        <v>249</v>
      </c>
      <c r="F345">
        <v>58639</v>
      </c>
      <c r="G345">
        <v>1683</v>
      </c>
      <c r="H345">
        <v>1043</v>
      </c>
      <c r="I345">
        <v>3.9E-2</v>
      </c>
      <c r="J345">
        <v>60445</v>
      </c>
      <c r="K345">
        <v>103</v>
      </c>
      <c r="L345">
        <v>94.16</v>
      </c>
      <c r="N345">
        <v>42</v>
      </c>
      <c r="Q345">
        <v>2.7</v>
      </c>
      <c r="R345">
        <v>39.1511</v>
      </c>
      <c r="S345">
        <v>-119.74760000000001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BA3A4-7B33-43DF-AC44-F544656187FF}">
  <sheetPr codeName="Sheet2"/>
  <dimension ref="A1:H60"/>
  <sheetViews>
    <sheetView workbookViewId="0">
      <selection activeCell="J17" sqref="J17"/>
    </sheetView>
  </sheetViews>
  <sheetFormatPr baseColWidth="10" defaultColWidth="8.83203125" defaultRowHeight="14" x14ac:dyDescent="0.15"/>
  <cols>
    <col min="1" max="1" width="28.1640625" customWidth="1"/>
    <col min="2" max="2" width="34.1640625" customWidth="1"/>
    <col min="3" max="3" width="17.5" customWidth="1"/>
    <col min="4" max="4" width="11.5" customWidth="1"/>
    <col min="5" max="5" width="19.83203125" customWidth="1"/>
    <col min="6" max="6" width="20.1640625" customWidth="1"/>
    <col min="7" max="7" width="17.33203125" customWidth="1"/>
    <col min="8" max="8" width="24.83203125" customWidth="1"/>
  </cols>
  <sheetData>
    <row r="1" spans="1:8" x14ac:dyDescent="0.15">
      <c r="A1" t="s">
        <v>2</v>
      </c>
      <c r="B1" t="s">
        <v>422</v>
      </c>
      <c r="C1" t="s">
        <v>423</v>
      </c>
      <c r="D1" t="s">
        <v>424</v>
      </c>
      <c r="E1" t="s">
        <v>425</v>
      </c>
      <c r="F1" t="s">
        <v>426</v>
      </c>
      <c r="G1" t="s">
        <v>427</v>
      </c>
      <c r="H1" t="s">
        <v>428</v>
      </c>
    </row>
    <row r="2" spans="1:8" x14ac:dyDescent="0.15">
      <c r="A2" t="s">
        <v>194</v>
      </c>
      <c r="B2" t="s">
        <v>429</v>
      </c>
      <c r="C2" t="s">
        <v>430</v>
      </c>
      <c r="D2" t="s">
        <v>431</v>
      </c>
      <c r="E2" t="s">
        <v>432</v>
      </c>
      <c r="F2">
        <v>20929</v>
      </c>
      <c r="G2">
        <v>0.375</v>
      </c>
      <c r="H2" t="s">
        <v>433</v>
      </c>
    </row>
    <row r="3" spans="1:8" x14ac:dyDescent="0.15">
      <c r="A3" t="s">
        <v>101</v>
      </c>
      <c r="B3" t="s">
        <v>434</v>
      </c>
      <c r="C3" t="s">
        <v>435</v>
      </c>
      <c r="D3" t="s">
        <v>436</v>
      </c>
      <c r="E3" t="s">
        <v>437</v>
      </c>
      <c r="F3">
        <v>292113</v>
      </c>
      <c r="G3">
        <v>0.39019999999999999</v>
      </c>
      <c r="H3" t="s">
        <v>438</v>
      </c>
    </row>
    <row r="4" spans="1:8" x14ac:dyDescent="0.15">
      <c r="A4" t="s">
        <v>136</v>
      </c>
      <c r="B4" t="s">
        <v>439</v>
      </c>
      <c r="C4" t="s">
        <v>440</v>
      </c>
      <c r="D4" t="s">
        <v>441</v>
      </c>
      <c r="E4" t="s">
        <v>442</v>
      </c>
      <c r="F4">
        <v>147073</v>
      </c>
      <c r="G4">
        <v>0.3911</v>
      </c>
      <c r="H4" t="s">
        <v>443</v>
      </c>
    </row>
    <row r="5" spans="1:8" x14ac:dyDescent="0.15">
      <c r="A5" t="s">
        <v>444</v>
      </c>
      <c r="B5" t="s">
        <v>445</v>
      </c>
      <c r="C5" t="s">
        <v>446</v>
      </c>
      <c r="D5" t="s">
        <v>446</v>
      </c>
      <c r="E5" t="s">
        <v>447</v>
      </c>
      <c r="F5">
        <v>1301</v>
      </c>
      <c r="G5">
        <v>0.36</v>
      </c>
      <c r="H5" t="s">
        <v>448</v>
      </c>
    </row>
    <row r="6" spans="1:8" x14ac:dyDescent="0.15">
      <c r="A6" t="s">
        <v>42</v>
      </c>
      <c r="B6" t="s">
        <v>449</v>
      </c>
      <c r="C6" t="s">
        <v>450</v>
      </c>
      <c r="D6" t="s">
        <v>451</v>
      </c>
      <c r="E6" t="s">
        <v>452</v>
      </c>
      <c r="F6">
        <v>635517</v>
      </c>
      <c r="G6">
        <v>0.4032</v>
      </c>
      <c r="H6" t="s">
        <v>453</v>
      </c>
    </row>
    <row r="7" spans="1:8" x14ac:dyDescent="0.15">
      <c r="A7" t="s">
        <v>22</v>
      </c>
      <c r="B7" t="s">
        <v>454</v>
      </c>
      <c r="C7" t="s">
        <v>455</v>
      </c>
      <c r="D7" t="s">
        <v>456</v>
      </c>
      <c r="E7" t="s">
        <v>457</v>
      </c>
      <c r="F7">
        <v>2544194</v>
      </c>
      <c r="G7">
        <v>0.54959999999999998</v>
      </c>
      <c r="H7" t="s">
        <v>458</v>
      </c>
    </row>
    <row r="8" spans="1:8" x14ac:dyDescent="0.15">
      <c r="A8" t="s">
        <v>53</v>
      </c>
      <c r="B8" t="s">
        <v>459</v>
      </c>
      <c r="C8" t="s">
        <v>460</v>
      </c>
      <c r="D8" t="s">
        <v>461</v>
      </c>
      <c r="E8" t="s">
        <v>462</v>
      </c>
      <c r="F8">
        <v>348692</v>
      </c>
      <c r="G8">
        <v>0.53190000000000004</v>
      </c>
      <c r="H8" t="s">
        <v>463</v>
      </c>
    </row>
    <row r="9" spans="1:8" x14ac:dyDescent="0.15">
      <c r="A9" t="s">
        <v>98</v>
      </c>
      <c r="B9" t="s">
        <v>464</v>
      </c>
      <c r="C9" t="s">
        <v>465</v>
      </c>
      <c r="D9" t="s">
        <v>466</v>
      </c>
      <c r="E9" t="s">
        <v>467</v>
      </c>
      <c r="F9">
        <v>187458</v>
      </c>
      <c r="G9">
        <v>0.51480000000000004</v>
      </c>
      <c r="H9" t="s">
        <v>468</v>
      </c>
    </row>
    <row r="10" spans="1:8" x14ac:dyDescent="0.15">
      <c r="A10" t="s">
        <v>32</v>
      </c>
      <c r="B10" t="s">
        <v>469</v>
      </c>
      <c r="C10" t="s">
        <v>470</v>
      </c>
      <c r="D10" t="s">
        <v>471</v>
      </c>
      <c r="E10" t="s">
        <v>472</v>
      </c>
      <c r="F10">
        <v>99462</v>
      </c>
      <c r="G10">
        <v>0.63539999999999996</v>
      </c>
      <c r="H10" t="s">
        <v>473</v>
      </c>
    </row>
    <row r="11" spans="1:8" x14ac:dyDescent="0.15">
      <c r="A11" t="s">
        <v>284</v>
      </c>
      <c r="B11" t="s">
        <v>474</v>
      </c>
      <c r="C11" t="s">
        <v>475</v>
      </c>
      <c r="D11" t="s">
        <v>476</v>
      </c>
      <c r="E11" t="s">
        <v>477</v>
      </c>
      <c r="F11">
        <v>56318</v>
      </c>
      <c r="G11">
        <v>0.49330000000000002</v>
      </c>
      <c r="H11" t="s">
        <v>478</v>
      </c>
    </row>
    <row r="12" spans="1:8" x14ac:dyDescent="0.15">
      <c r="A12" t="s">
        <v>36</v>
      </c>
      <c r="B12" t="s">
        <v>479</v>
      </c>
      <c r="C12" t="s">
        <v>480</v>
      </c>
      <c r="D12" t="s">
        <v>481</v>
      </c>
      <c r="E12" t="s">
        <v>482</v>
      </c>
      <c r="F12">
        <v>1029907</v>
      </c>
      <c r="G12">
        <v>0.55820000000000003</v>
      </c>
      <c r="H12" t="s">
        <v>483</v>
      </c>
    </row>
    <row r="13" spans="1:8" x14ac:dyDescent="0.15">
      <c r="A13" t="s">
        <v>484</v>
      </c>
      <c r="B13" t="s">
        <v>445</v>
      </c>
      <c r="C13" t="s">
        <v>485</v>
      </c>
      <c r="D13" t="s">
        <v>446</v>
      </c>
      <c r="E13" t="s">
        <v>486</v>
      </c>
      <c r="F13">
        <v>1946</v>
      </c>
      <c r="G13">
        <v>0.28999999999999998</v>
      </c>
      <c r="H13" t="s">
        <v>448</v>
      </c>
    </row>
    <row r="14" spans="1:8" x14ac:dyDescent="0.15">
      <c r="A14" t="s">
        <v>38</v>
      </c>
      <c r="B14" t="s">
        <v>487</v>
      </c>
      <c r="C14" t="s">
        <v>488</v>
      </c>
      <c r="D14" t="s">
        <v>489</v>
      </c>
      <c r="E14" t="s">
        <v>490</v>
      </c>
      <c r="F14">
        <v>543766</v>
      </c>
      <c r="G14">
        <v>0.41399999999999998</v>
      </c>
      <c r="H14" t="s">
        <v>491</v>
      </c>
    </row>
    <row r="15" spans="1:8" x14ac:dyDescent="0.15">
      <c r="A15" t="s">
        <v>492</v>
      </c>
      <c r="B15" t="s">
        <v>493</v>
      </c>
      <c r="C15" t="s">
        <v>494</v>
      </c>
      <c r="D15" t="s">
        <v>446</v>
      </c>
      <c r="E15" t="s">
        <v>495</v>
      </c>
      <c r="F15">
        <v>4856</v>
      </c>
      <c r="G15">
        <v>0.37669999999999998</v>
      </c>
      <c r="H15" t="s">
        <v>496</v>
      </c>
    </row>
    <row r="16" spans="1:8" x14ac:dyDescent="0.15">
      <c r="A16" t="s">
        <v>106</v>
      </c>
      <c r="B16" t="s">
        <v>497</v>
      </c>
      <c r="C16" t="s">
        <v>498</v>
      </c>
      <c r="D16" t="s">
        <v>499</v>
      </c>
      <c r="E16" t="s">
        <v>500</v>
      </c>
      <c r="F16">
        <v>60273</v>
      </c>
      <c r="G16">
        <v>0.4506</v>
      </c>
      <c r="H16" t="s">
        <v>501</v>
      </c>
    </row>
    <row r="17" spans="1:8" x14ac:dyDescent="0.15">
      <c r="A17" t="s">
        <v>139</v>
      </c>
      <c r="B17" t="s">
        <v>502</v>
      </c>
      <c r="C17" t="s">
        <v>503</v>
      </c>
      <c r="D17" t="s">
        <v>504</v>
      </c>
      <c r="E17" t="s">
        <v>505</v>
      </c>
      <c r="F17">
        <v>204570</v>
      </c>
      <c r="G17">
        <v>0.58240000000000003</v>
      </c>
      <c r="H17" t="s">
        <v>506</v>
      </c>
    </row>
    <row r="18" spans="1:8" x14ac:dyDescent="0.15">
      <c r="A18" t="s">
        <v>299</v>
      </c>
      <c r="B18" t="s">
        <v>507</v>
      </c>
      <c r="C18" t="s">
        <v>508</v>
      </c>
      <c r="D18" t="s">
        <v>509</v>
      </c>
      <c r="E18" t="s">
        <v>510</v>
      </c>
      <c r="F18">
        <v>127747</v>
      </c>
      <c r="G18">
        <v>0.61040000000000005</v>
      </c>
      <c r="H18" t="s">
        <v>511</v>
      </c>
    </row>
    <row r="19" spans="1:8" x14ac:dyDescent="0.15">
      <c r="A19" t="s">
        <v>25</v>
      </c>
      <c r="B19" t="s">
        <v>512</v>
      </c>
      <c r="C19" t="s">
        <v>513</v>
      </c>
      <c r="D19" t="s">
        <v>514</v>
      </c>
      <c r="E19" t="s">
        <v>515</v>
      </c>
      <c r="F19">
        <v>679482</v>
      </c>
      <c r="G19">
        <v>0.4914</v>
      </c>
      <c r="H19" t="s">
        <v>516</v>
      </c>
    </row>
    <row r="20" spans="1:8" x14ac:dyDescent="0.15">
      <c r="A20" t="s">
        <v>74</v>
      </c>
      <c r="B20" t="s">
        <v>517</v>
      </c>
      <c r="C20" t="s">
        <v>518</v>
      </c>
      <c r="D20" t="s">
        <v>519</v>
      </c>
      <c r="E20" t="s">
        <v>520</v>
      </c>
      <c r="F20">
        <v>438920</v>
      </c>
      <c r="G20">
        <v>0.57979999999999998</v>
      </c>
      <c r="H20" t="s">
        <v>521</v>
      </c>
    </row>
    <row r="21" spans="1:8" x14ac:dyDescent="0.15">
      <c r="A21" t="s">
        <v>149</v>
      </c>
      <c r="B21" t="s">
        <v>522</v>
      </c>
      <c r="C21" t="s">
        <v>523</v>
      </c>
      <c r="D21" t="s">
        <v>524</v>
      </c>
      <c r="E21" t="s">
        <v>525</v>
      </c>
      <c r="F21">
        <v>193665</v>
      </c>
      <c r="G21">
        <v>0.45950000000000002</v>
      </c>
      <c r="H21" t="s">
        <v>526</v>
      </c>
    </row>
    <row r="22" spans="1:8" x14ac:dyDescent="0.15">
      <c r="A22" t="s">
        <v>92</v>
      </c>
      <c r="B22" t="s">
        <v>527</v>
      </c>
      <c r="C22" t="s">
        <v>528</v>
      </c>
      <c r="D22" t="s">
        <v>529</v>
      </c>
      <c r="E22" t="s">
        <v>530</v>
      </c>
      <c r="F22">
        <v>262338</v>
      </c>
      <c r="G22">
        <v>0.47660000000000002</v>
      </c>
      <c r="H22" t="s">
        <v>531</v>
      </c>
    </row>
    <row r="23" spans="1:8" x14ac:dyDescent="0.15">
      <c r="A23" t="s">
        <v>94</v>
      </c>
      <c r="B23" t="s">
        <v>532</v>
      </c>
      <c r="C23" t="s">
        <v>533</v>
      </c>
      <c r="D23" t="s">
        <v>534</v>
      </c>
      <c r="E23" t="s">
        <v>535</v>
      </c>
      <c r="F23">
        <v>238035</v>
      </c>
      <c r="G23">
        <v>0.42130000000000001</v>
      </c>
      <c r="H23" t="s">
        <v>536</v>
      </c>
    </row>
    <row r="24" spans="1:8" x14ac:dyDescent="0.15">
      <c r="A24" t="s">
        <v>40</v>
      </c>
      <c r="B24" t="s">
        <v>537</v>
      </c>
      <c r="C24" t="s">
        <v>538</v>
      </c>
      <c r="D24" t="s">
        <v>539</v>
      </c>
      <c r="E24" t="s">
        <v>540</v>
      </c>
      <c r="F24">
        <v>477482</v>
      </c>
      <c r="G24">
        <v>0.61629999999999996</v>
      </c>
      <c r="H24" t="s">
        <v>541</v>
      </c>
    </row>
    <row r="25" spans="1:8" x14ac:dyDescent="0.15">
      <c r="A25" t="s">
        <v>55</v>
      </c>
      <c r="B25" t="s">
        <v>542</v>
      </c>
      <c r="C25" t="s">
        <v>543</v>
      </c>
      <c r="D25" t="s">
        <v>519</v>
      </c>
      <c r="E25" t="s">
        <v>544</v>
      </c>
      <c r="F25">
        <v>335799</v>
      </c>
      <c r="G25">
        <v>0.46250000000000002</v>
      </c>
      <c r="H25" t="s">
        <v>545</v>
      </c>
    </row>
    <row r="26" spans="1:8" x14ac:dyDescent="0.15">
      <c r="A26" t="s">
        <v>161</v>
      </c>
      <c r="B26" t="s">
        <v>546</v>
      </c>
      <c r="C26" t="s">
        <v>547</v>
      </c>
      <c r="D26" t="s">
        <v>548</v>
      </c>
      <c r="E26" t="s">
        <v>549</v>
      </c>
      <c r="F26">
        <v>69566</v>
      </c>
      <c r="G26">
        <v>0.53300000000000003</v>
      </c>
      <c r="H26" t="s">
        <v>550</v>
      </c>
    </row>
    <row r="27" spans="1:8" x14ac:dyDescent="0.15">
      <c r="A27" t="s">
        <v>551</v>
      </c>
      <c r="B27" t="s">
        <v>445</v>
      </c>
      <c r="C27" t="s">
        <v>446</v>
      </c>
      <c r="D27" t="s">
        <v>446</v>
      </c>
      <c r="E27" t="s">
        <v>552</v>
      </c>
      <c r="F27">
        <v>1267</v>
      </c>
      <c r="G27">
        <v>0.13</v>
      </c>
      <c r="H27" t="s">
        <v>448</v>
      </c>
    </row>
    <row r="28" spans="1:8" x14ac:dyDescent="0.15">
      <c r="A28" t="s">
        <v>46</v>
      </c>
      <c r="B28" t="s">
        <v>553</v>
      </c>
      <c r="C28" t="s">
        <v>554</v>
      </c>
      <c r="D28" t="s">
        <v>451</v>
      </c>
      <c r="E28" t="s">
        <v>555</v>
      </c>
      <c r="F28">
        <v>483002</v>
      </c>
      <c r="G28">
        <v>0.4551</v>
      </c>
      <c r="H28" t="s">
        <v>556</v>
      </c>
    </row>
    <row r="29" spans="1:8" x14ac:dyDescent="0.15">
      <c r="A29" t="s">
        <v>49</v>
      </c>
      <c r="B29" t="s">
        <v>557</v>
      </c>
      <c r="C29" t="s">
        <v>558</v>
      </c>
      <c r="D29" t="s">
        <v>559</v>
      </c>
      <c r="E29" t="s">
        <v>560</v>
      </c>
      <c r="F29">
        <v>377954</v>
      </c>
      <c r="G29">
        <v>0.52439999999999998</v>
      </c>
      <c r="H29" t="s">
        <v>561</v>
      </c>
    </row>
    <row r="30" spans="1:8" x14ac:dyDescent="0.15">
      <c r="A30" t="s">
        <v>57</v>
      </c>
      <c r="B30" t="s">
        <v>562</v>
      </c>
      <c r="C30" t="s">
        <v>563</v>
      </c>
      <c r="D30" t="s">
        <v>564</v>
      </c>
      <c r="E30" t="s">
        <v>565</v>
      </c>
      <c r="F30">
        <v>335902</v>
      </c>
      <c r="G30">
        <v>0.52249999999999996</v>
      </c>
      <c r="H30" t="s">
        <v>566</v>
      </c>
    </row>
    <row r="31" spans="1:8" x14ac:dyDescent="0.15">
      <c r="A31" t="s">
        <v>567</v>
      </c>
      <c r="B31" t="s">
        <v>445</v>
      </c>
      <c r="C31" t="s">
        <v>446</v>
      </c>
      <c r="D31" t="s">
        <v>446</v>
      </c>
      <c r="E31" t="s">
        <v>568</v>
      </c>
      <c r="F31">
        <v>1298</v>
      </c>
      <c r="G31">
        <v>0.28999999999999998</v>
      </c>
      <c r="H31" t="s">
        <v>569</v>
      </c>
    </row>
    <row r="32" spans="1:8" x14ac:dyDescent="0.15">
      <c r="A32" t="s">
        <v>154</v>
      </c>
      <c r="B32" t="s">
        <v>570</v>
      </c>
      <c r="C32" t="s">
        <v>571</v>
      </c>
      <c r="D32" t="s">
        <v>572</v>
      </c>
      <c r="E32" t="s">
        <v>573</v>
      </c>
      <c r="F32">
        <v>159007</v>
      </c>
      <c r="G32">
        <v>0.44030000000000002</v>
      </c>
      <c r="H32" t="s">
        <v>574</v>
      </c>
    </row>
    <row r="33" spans="1:8" x14ac:dyDescent="0.15">
      <c r="A33" t="s">
        <v>281</v>
      </c>
      <c r="B33" t="s">
        <v>575</v>
      </c>
      <c r="C33" t="s">
        <v>576</v>
      </c>
      <c r="D33" t="s">
        <v>577</v>
      </c>
      <c r="E33" t="s">
        <v>578</v>
      </c>
      <c r="F33">
        <v>47085</v>
      </c>
      <c r="G33">
        <v>0.40749999999999997</v>
      </c>
      <c r="H33" t="s">
        <v>579</v>
      </c>
    </row>
    <row r="34" spans="1:8" x14ac:dyDescent="0.15">
      <c r="A34" t="s">
        <v>60</v>
      </c>
      <c r="B34" t="s">
        <v>580</v>
      </c>
      <c r="C34" t="s">
        <v>581</v>
      </c>
      <c r="D34" t="s">
        <v>504</v>
      </c>
      <c r="E34" t="s">
        <v>582</v>
      </c>
      <c r="F34">
        <v>557998</v>
      </c>
      <c r="G34">
        <v>0.45140000000000002</v>
      </c>
      <c r="H34" t="s">
        <v>583</v>
      </c>
    </row>
    <row r="35" spans="1:8" x14ac:dyDescent="0.15">
      <c r="A35" t="s">
        <v>248</v>
      </c>
      <c r="B35" t="s">
        <v>584</v>
      </c>
      <c r="C35" t="s">
        <v>585</v>
      </c>
      <c r="D35" t="s">
        <v>586</v>
      </c>
      <c r="E35" t="s">
        <v>587</v>
      </c>
      <c r="F35">
        <v>51263</v>
      </c>
      <c r="G35">
        <v>0.44209999999999999</v>
      </c>
      <c r="H35" t="s">
        <v>588</v>
      </c>
    </row>
    <row r="36" spans="1:8" x14ac:dyDescent="0.15">
      <c r="A36" t="s">
        <v>112</v>
      </c>
      <c r="B36" t="s">
        <v>589</v>
      </c>
      <c r="C36" t="s">
        <v>590</v>
      </c>
      <c r="D36" t="s">
        <v>591</v>
      </c>
      <c r="E36" t="s">
        <v>592</v>
      </c>
      <c r="F36">
        <v>133870</v>
      </c>
      <c r="G36">
        <v>0.55030000000000001</v>
      </c>
      <c r="H36" t="s">
        <v>579</v>
      </c>
    </row>
    <row r="37" spans="1:8" x14ac:dyDescent="0.15">
      <c r="A37" t="s">
        <v>183</v>
      </c>
      <c r="B37" t="s">
        <v>593</v>
      </c>
      <c r="C37" t="s">
        <v>594</v>
      </c>
      <c r="D37" t="s">
        <v>595</v>
      </c>
      <c r="E37" t="s">
        <v>596</v>
      </c>
      <c r="F37">
        <v>198501</v>
      </c>
      <c r="G37">
        <v>0.50860000000000005</v>
      </c>
      <c r="H37" t="s">
        <v>597</v>
      </c>
    </row>
    <row r="38" spans="1:8" x14ac:dyDescent="0.15">
      <c r="A38" t="s">
        <v>198</v>
      </c>
      <c r="B38" t="s">
        <v>598</v>
      </c>
      <c r="C38" t="s">
        <v>599</v>
      </c>
      <c r="D38" t="s">
        <v>577</v>
      </c>
      <c r="E38" t="s">
        <v>600</v>
      </c>
      <c r="F38">
        <v>386440</v>
      </c>
      <c r="G38">
        <v>0.51139999999999997</v>
      </c>
      <c r="H38" t="s">
        <v>601</v>
      </c>
    </row>
    <row r="39" spans="1:8" x14ac:dyDescent="0.15">
      <c r="A39" t="s">
        <v>117</v>
      </c>
      <c r="B39" t="s">
        <v>602</v>
      </c>
      <c r="C39" t="s">
        <v>603</v>
      </c>
      <c r="D39" t="s">
        <v>604</v>
      </c>
      <c r="E39" t="s">
        <v>605</v>
      </c>
      <c r="F39">
        <v>106105</v>
      </c>
      <c r="G39">
        <v>0.32879999999999998</v>
      </c>
      <c r="H39" t="s">
        <v>606</v>
      </c>
    </row>
    <row r="40" spans="1:8" x14ac:dyDescent="0.15">
      <c r="A40" t="s">
        <v>68</v>
      </c>
      <c r="B40" t="s">
        <v>607</v>
      </c>
      <c r="C40" t="s">
        <v>608</v>
      </c>
      <c r="D40" t="s">
        <v>609</v>
      </c>
      <c r="E40" t="s">
        <v>610</v>
      </c>
      <c r="F40">
        <v>115566</v>
      </c>
      <c r="G40">
        <v>0.48349999999999999</v>
      </c>
      <c r="H40" t="s">
        <v>611</v>
      </c>
    </row>
    <row r="41" spans="1:8" x14ac:dyDescent="0.15">
      <c r="A41" t="s">
        <v>18</v>
      </c>
      <c r="B41" t="s">
        <v>612</v>
      </c>
      <c r="C41" t="s">
        <v>613</v>
      </c>
      <c r="D41" t="s">
        <v>614</v>
      </c>
      <c r="E41" t="s">
        <v>615</v>
      </c>
      <c r="F41">
        <v>1130989</v>
      </c>
      <c r="G41">
        <v>0.54769999999999996</v>
      </c>
      <c r="H41" t="s">
        <v>616</v>
      </c>
    </row>
    <row r="42" spans="1:8" x14ac:dyDescent="0.15">
      <c r="A42" t="s">
        <v>70</v>
      </c>
      <c r="B42" t="s">
        <v>617</v>
      </c>
      <c r="C42" t="s">
        <v>618</v>
      </c>
      <c r="D42" t="s">
        <v>619</v>
      </c>
      <c r="E42" t="s">
        <v>620</v>
      </c>
      <c r="F42">
        <v>652792</v>
      </c>
      <c r="G42">
        <v>0.50939999999999996</v>
      </c>
      <c r="H42" t="s">
        <v>621</v>
      </c>
    </row>
    <row r="43" spans="1:8" x14ac:dyDescent="0.15">
      <c r="A43" t="s">
        <v>87</v>
      </c>
      <c r="B43" t="s">
        <v>622</v>
      </c>
      <c r="C43" t="s">
        <v>623</v>
      </c>
      <c r="D43" t="s">
        <v>624</v>
      </c>
      <c r="E43" t="s">
        <v>625</v>
      </c>
      <c r="F43">
        <v>195209</v>
      </c>
      <c r="G43">
        <v>0.44550000000000001</v>
      </c>
      <c r="H43" t="s">
        <v>626</v>
      </c>
    </row>
    <row r="44" spans="1:8" x14ac:dyDescent="0.15">
      <c r="A44" t="s">
        <v>63</v>
      </c>
      <c r="B44" t="s">
        <v>627</v>
      </c>
      <c r="C44" t="s">
        <v>628</v>
      </c>
      <c r="D44" t="s">
        <v>629</v>
      </c>
      <c r="E44" t="s">
        <v>630</v>
      </c>
      <c r="F44">
        <v>196397</v>
      </c>
      <c r="G44">
        <v>0.50329999999999997</v>
      </c>
      <c r="H44" t="s">
        <v>631</v>
      </c>
    </row>
    <row r="45" spans="1:8" x14ac:dyDescent="0.15">
      <c r="A45" t="s">
        <v>34</v>
      </c>
      <c r="B45" t="s">
        <v>632</v>
      </c>
      <c r="C45" t="s">
        <v>633</v>
      </c>
      <c r="D45" t="s">
        <v>634</v>
      </c>
      <c r="E45" t="s">
        <v>635</v>
      </c>
      <c r="F45">
        <v>550082</v>
      </c>
      <c r="G45">
        <v>0.61739999999999995</v>
      </c>
      <c r="H45" t="s">
        <v>636</v>
      </c>
    </row>
    <row r="46" spans="1:8" x14ac:dyDescent="0.15">
      <c r="A46" t="s">
        <v>637</v>
      </c>
      <c r="B46" t="s">
        <v>638</v>
      </c>
      <c r="C46" t="s">
        <v>639</v>
      </c>
      <c r="D46" t="s">
        <v>640</v>
      </c>
      <c r="E46" t="s">
        <v>641</v>
      </c>
      <c r="F46">
        <v>175209</v>
      </c>
      <c r="G46">
        <v>0.43109999999999998</v>
      </c>
      <c r="H46" t="s">
        <v>642</v>
      </c>
    </row>
    <row r="47" spans="1:8" x14ac:dyDescent="0.15">
      <c r="A47" t="s">
        <v>643</v>
      </c>
      <c r="B47" t="s">
        <v>445</v>
      </c>
      <c r="C47" t="s">
        <v>446</v>
      </c>
      <c r="D47" t="s">
        <v>446</v>
      </c>
      <c r="E47" t="s">
        <v>644</v>
      </c>
      <c r="F47">
        <v>525</v>
      </c>
      <c r="G47">
        <v>0.27</v>
      </c>
      <c r="H47" t="s">
        <v>645</v>
      </c>
    </row>
    <row r="48" spans="1:8" x14ac:dyDescent="0.15">
      <c r="A48" t="s">
        <v>82</v>
      </c>
      <c r="B48" t="s">
        <v>646</v>
      </c>
      <c r="C48" t="s">
        <v>647</v>
      </c>
      <c r="D48" t="s">
        <v>648</v>
      </c>
      <c r="E48" t="s">
        <v>649</v>
      </c>
      <c r="F48">
        <v>74694</v>
      </c>
      <c r="G48">
        <v>0.71</v>
      </c>
      <c r="H48" t="s">
        <v>650</v>
      </c>
    </row>
    <row r="49" spans="1:8" x14ac:dyDescent="0.15">
      <c r="A49" t="s">
        <v>115</v>
      </c>
      <c r="B49" t="s">
        <v>651</v>
      </c>
      <c r="C49" t="s">
        <v>652</v>
      </c>
      <c r="D49" t="s">
        <v>653</v>
      </c>
      <c r="E49" t="s">
        <v>654</v>
      </c>
      <c r="F49">
        <v>231452</v>
      </c>
      <c r="G49">
        <v>0.4284</v>
      </c>
      <c r="H49" t="s">
        <v>655</v>
      </c>
    </row>
    <row r="50" spans="1:8" x14ac:dyDescent="0.15">
      <c r="A50" t="s">
        <v>234</v>
      </c>
      <c r="B50" t="s">
        <v>656</v>
      </c>
      <c r="C50" t="s">
        <v>657</v>
      </c>
      <c r="D50" t="s">
        <v>658</v>
      </c>
      <c r="E50" t="s">
        <v>659</v>
      </c>
      <c r="F50">
        <v>51606</v>
      </c>
      <c r="G50">
        <v>0.54759999999999998</v>
      </c>
      <c r="H50" t="s">
        <v>660</v>
      </c>
    </row>
    <row r="51" spans="1:8" x14ac:dyDescent="0.15">
      <c r="A51" t="s">
        <v>78</v>
      </c>
      <c r="B51" t="s">
        <v>661</v>
      </c>
      <c r="C51" t="s">
        <v>662</v>
      </c>
      <c r="D51" t="s">
        <v>663</v>
      </c>
      <c r="E51" t="s">
        <v>664</v>
      </c>
      <c r="F51">
        <v>322542</v>
      </c>
      <c r="G51">
        <v>0.53859999999999997</v>
      </c>
      <c r="H51" t="s">
        <v>665</v>
      </c>
    </row>
    <row r="52" spans="1:8" x14ac:dyDescent="0.15">
      <c r="A52" t="s">
        <v>28</v>
      </c>
      <c r="B52" t="s">
        <v>666</v>
      </c>
      <c r="C52" t="s">
        <v>667</v>
      </c>
      <c r="D52" t="s">
        <v>668</v>
      </c>
      <c r="E52" t="s">
        <v>669</v>
      </c>
      <c r="F52">
        <v>1567878</v>
      </c>
      <c r="G52">
        <v>0.43869999999999998</v>
      </c>
      <c r="H52" t="s">
        <v>670</v>
      </c>
    </row>
    <row r="53" spans="1:8" x14ac:dyDescent="0.15">
      <c r="A53" t="s">
        <v>96</v>
      </c>
      <c r="B53" t="s">
        <v>671</v>
      </c>
      <c r="C53" t="s">
        <v>672</v>
      </c>
      <c r="D53" t="s">
        <v>595</v>
      </c>
      <c r="E53" t="s">
        <v>673</v>
      </c>
      <c r="F53">
        <v>395777</v>
      </c>
      <c r="G53">
        <v>0.56189999999999996</v>
      </c>
      <c r="H53" t="s">
        <v>674</v>
      </c>
    </row>
    <row r="54" spans="1:8" x14ac:dyDescent="0.15">
      <c r="A54" t="s">
        <v>80</v>
      </c>
      <c r="B54" t="s">
        <v>675</v>
      </c>
      <c r="C54" t="s">
        <v>676</v>
      </c>
      <c r="D54" t="s">
        <v>677</v>
      </c>
      <c r="E54" t="s">
        <v>678</v>
      </c>
      <c r="F54">
        <v>543374</v>
      </c>
      <c r="G54">
        <v>0.49569999999999997</v>
      </c>
      <c r="H54" t="s">
        <v>679</v>
      </c>
    </row>
    <row r="55" spans="1:8" x14ac:dyDescent="0.15">
      <c r="A55" t="s">
        <v>680</v>
      </c>
      <c r="B55" t="s">
        <v>681</v>
      </c>
      <c r="C55" t="s">
        <v>682</v>
      </c>
      <c r="D55" t="s">
        <v>683</v>
      </c>
      <c r="E55" t="s">
        <v>684</v>
      </c>
      <c r="F55">
        <v>1624</v>
      </c>
      <c r="G55">
        <v>0.32</v>
      </c>
      <c r="H55" t="s">
        <v>645</v>
      </c>
    </row>
    <row r="56" spans="1:8" x14ac:dyDescent="0.15">
      <c r="A56" t="s">
        <v>259</v>
      </c>
      <c r="B56" t="s">
        <v>685</v>
      </c>
      <c r="C56" t="s">
        <v>686</v>
      </c>
      <c r="D56" t="s">
        <v>687</v>
      </c>
      <c r="E56" t="s">
        <v>688</v>
      </c>
      <c r="F56">
        <v>39942</v>
      </c>
      <c r="G56">
        <v>0.57540000000000002</v>
      </c>
      <c r="H56" t="s">
        <v>689</v>
      </c>
    </row>
    <row r="57" spans="1:8" x14ac:dyDescent="0.15">
      <c r="A57" t="s">
        <v>31</v>
      </c>
      <c r="B57" t="s">
        <v>690</v>
      </c>
      <c r="C57" t="s">
        <v>691</v>
      </c>
      <c r="D57" t="s">
        <v>692</v>
      </c>
      <c r="E57" t="s">
        <v>693</v>
      </c>
      <c r="F57">
        <v>321688</v>
      </c>
      <c r="G57">
        <v>0.50090000000000001</v>
      </c>
      <c r="H57" t="s">
        <v>694</v>
      </c>
    </row>
    <row r="58" spans="1:8" x14ac:dyDescent="0.15">
      <c r="A58" t="s">
        <v>85</v>
      </c>
      <c r="B58" t="s">
        <v>695</v>
      </c>
      <c r="C58" t="s">
        <v>696</v>
      </c>
      <c r="D58" t="s">
        <v>697</v>
      </c>
      <c r="E58" t="s">
        <v>698</v>
      </c>
      <c r="F58">
        <v>316535</v>
      </c>
      <c r="G58">
        <v>0.53559999999999997</v>
      </c>
      <c r="H58" t="s">
        <v>699</v>
      </c>
    </row>
    <row r="59" spans="1:8" x14ac:dyDescent="0.15">
      <c r="A59" t="s">
        <v>208</v>
      </c>
      <c r="B59" t="s">
        <v>700</v>
      </c>
      <c r="C59" t="s">
        <v>701</v>
      </c>
      <c r="D59" t="s">
        <v>702</v>
      </c>
      <c r="E59" t="s">
        <v>703</v>
      </c>
      <c r="F59">
        <v>132128</v>
      </c>
      <c r="G59">
        <v>0.49399999999999999</v>
      </c>
      <c r="H59" t="s">
        <v>704</v>
      </c>
    </row>
    <row r="60" spans="1:8" x14ac:dyDescent="0.15">
      <c r="A60" t="s">
        <v>372</v>
      </c>
      <c r="B60" t="s">
        <v>705</v>
      </c>
      <c r="C60" t="s">
        <v>706</v>
      </c>
      <c r="D60" t="s">
        <v>446</v>
      </c>
      <c r="E60" t="s">
        <v>707</v>
      </c>
      <c r="F60">
        <v>30447</v>
      </c>
      <c r="G60">
        <v>0.45669999999999999</v>
      </c>
      <c r="H60" t="s">
        <v>704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CBC16-AC7B-4FCD-BEBB-FDB75FA12836}">
  <sheetPr codeName="Sheet3"/>
  <dimension ref="A1:B52"/>
  <sheetViews>
    <sheetView workbookViewId="0">
      <selection activeCell="O7" sqref="O7"/>
    </sheetView>
  </sheetViews>
  <sheetFormatPr baseColWidth="10" defaultColWidth="8.83203125" defaultRowHeight="14" x14ac:dyDescent="0.15"/>
  <cols>
    <col min="1" max="1" width="18.1640625" customWidth="1"/>
    <col min="2" max="2" width="10.83203125" customWidth="1"/>
  </cols>
  <sheetData>
    <row r="1" spans="1:2" x14ac:dyDescent="0.15">
      <c r="A1" t="s">
        <v>0</v>
      </c>
      <c r="B1" t="s">
        <v>393</v>
      </c>
    </row>
    <row r="2" spans="1:2" x14ac:dyDescent="0.15">
      <c r="A2" t="s">
        <v>101</v>
      </c>
      <c r="B2">
        <v>148</v>
      </c>
    </row>
    <row r="3" spans="1:2" x14ac:dyDescent="0.15">
      <c r="A3" t="s">
        <v>194</v>
      </c>
      <c r="B3">
        <v>31</v>
      </c>
    </row>
    <row r="4" spans="1:2" x14ac:dyDescent="0.15">
      <c r="A4" t="s">
        <v>42</v>
      </c>
      <c r="B4">
        <v>167</v>
      </c>
    </row>
    <row r="5" spans="1:2" x14ac:dyDescent="0.15">
      <c r="A5" t="s">
        <v>136</v>
      </c>
      <c r="B5">
        <v>130</v>
      </c>
    </row>
    <row r="6" spans="1:2" x14ac:dyDescent="0.15">
      <c r="A6" t="s">
        <v>22</v>
      </c>
      <c r="B6">
        <v>553</v>
      </c>
    </row>
    <row r="7" spans="1:2" x14ac:dyDescent="0.15">
      <c r="A7" t="s">
        <v>53</v>
      </c>
      <c r="B7">
        <v>133</v>
      </c>
    </row>
    <row r="8" spans="1:2" x14ac:dyDescent="0.15">
      <c r="A8" t="s">
        <v>98</v>
      </c>
      <c r="B8">
        <v>59</v>
      </c>
    </row>
    <row r="9" spans="1:2" x14ac:dyDescent="0.15">
      <c r="A9" t="s">
        <v>284</v>
      </c>
      <c r="B9">
        <v>19</v>
      </c>
    </row>
    <row r="10" spans="1:2" x14ac:dyDescent="0.15">
      <c r="A10" t="s">
        <v>32</v>
      </c>
      <c r="B10">
        <v>16</v>
      </c>
    </row>
    <row r="11" spans="1:2" x14ac:dyDescent="0.15">
      <c r="A11" t="s">
        <v>36</v>
      </c>
      <c r="B11">
        <v>372</v>
      </c>
    </row>
    <row r="12" spans="1:2" x14ac:dyDescent="0.15">
      <c r="A12" t="s">
        <v>38</v>
      </c>
      <c r="B12">
        <v>212</v>
      </c>
    </row>
    <row r="13" spans="1:2" x14ac:dyDescent="0.15">
      <c r="A13" t="s">
        <v>106</v>
      </c>
      <c r="B13">
        <v>32</v>
      </c>
    </row>
    <row r="14" spans="1:2" x14ac:dyDescent="0.15">
      <c r="A14" t="s">
        <v>299</v>
      </c>
      <c r="B14">
        <v>64</v>
      </c>
    </row>
    <row r="15" spans="1:2" x14ac:dyDescent="0.15">
      <c r="A15" t="s">
        <v>25</v>
      </c>
      <c r="B15">
        <v>254</v>
      </c>
    </row>
    <row r="16" spans="1:2" x14ac:dyDescent="0.15">
      <c r="A16" t="s">
        <v>74</v>
      </c>
      <c r="B16">
        <v>228</v>
      </c>
    </row>
    <row r="17" spans="1:2" x14ac:dyDescent="0.15">
      <c r="A17" t="s">
        <v>139</v>
      </c>
      <c r="B17">
        <v>138</v>
      </c>
    </row>
    <row r="18" spans="1:2" x14ac:dyDescent="0.15">
      <c r="A18" t="s">
        <v>149</v>
      </c>
      <c r="B18">
        <v>183</v>
      </c>
    </row>
    <row r="19" spans="1:2" x14ac:dyDescent="0.15">
      <c r="A19" t="s">
        <v>92</v>
      </c>
      <c r="B19">
        <v>139</v>
      </c>
    </row>
    <row r="20" spans="1:2" x14ac:dyDescent="0.15">
      <c r="A20" t="s">
        <v>94</v>
      </c>
      <c r="B20">
        <v>313</v>
      </c>
    </row>
    <row r="21" spans="1:2" x14ac:dyDescent="0.15">
      <c r="A21" t="s">
        <v>161</v>
      </c>
      <c r="B21">
        <v>46</v>
      </c>
    </row>
    <row r="22" spans="1:2" x14ac:dyDescent="0.15">
      <c r="A22" t="s">
        <v>55</v>
      </c>
      <c r="B22">
        <v>83</v>
      </c>
    </row>
    <row r="23" spans="1:2" x14ac:dyDescent="0.15">
      <c r="A23" t="s">
        <v>40</v>
      </c>
      <c r="B23">
        <v>159</v>
      </c>
    </row>
    <row r="24" spans="1:2" x14ac:dyDescent="0.15">
      <c r="A24" t="s">
        <v>46</v>
      </c>
      <c r="B24">
        <v>203</v>
      </c>
    </row>
    <row r="25" spans="1:2" x14ac:dyDescent="0.15">
      <c r="A25" t="s">
        <v>49</v>
      </c>
      <c r="B25">
        <v>162</v>
      </c>
    </row>
    <row r="26" spans="1:2" x14ac:dyDescent="0.15">
      <c r="A26" t="s">
        <v>154</v>
      </c>
      <c r="B26">
        <v>135</v>
      </c>
    </row>
    <row r="27" spans="1:2" x14ac:dyDescent="0.15">
      <c r="A27" t="s">
        <v>57</v>
      </c>
      <c r="B27">
        <v>190</v>
      </c>
    </row>
    <row r="28" spans="1:2" x14ac:dyDescent="0.15">
      <c r="A28" t="s">
        <v>281</v>
      </c>
      <c r="B28">
        <v>68</v>
      </c>
    </row>
    <row r="29" spans="1:2" x14ac:dyDescent="0.15">
      <c r="A29" t="s">
        <v>112</v>
      </c>
      <c r="B29">
        <v>35</v>
      </c>
    </row>
    <row r="30" spans="1:2" x14ac:dyDescent="0.15">
      <c r="A30" t="s">
        <v>68</v>
      </c>
      <c r="B30">
        <v>79</v>
      </c>
    </row>
    <row r="31" spans="1:2" x14ac:dyDescent="0.15">
      <c r="A31" t="s">
        <v>183</v>
      </c>
      <c r="B31">
        <v>35</v>
      </c>
    </row>
    <row r="32" spans="1:2" x14ac:dyDescent="0.15">
      <c r="A32" t="s">
        <v>198</v>
      </c>
      <c r="B32">
        <v>141</v>
      </c>
    </row>
    <row r="33" spans="1:2" x14ac:dyDescent="0.15">
      <c r="A33" t="s">
        <v>117</v>
      </c>
      <c r="B33">
        <v>67</v>
      </c>
    </row>
    <row r="34" spans="1:2" x14ac:dyDescent="0.15">
      <c r="A34" t="s">
        <v>18</v>
      </c>
      <c r="B34">
        <v>309</v>
      </c>
    </row>
    <row r="35" spans="1:2" x14ac:dyDescent="0.15">
      <c r="A35" t="s">
        <v>60</v>
      </c>
      <c r="B35">
        <v>193</v>
      </c>
    </row>
    <row r="36" spans="1:2" x14ac:dyDescent="0.15">
      <c r="A36" t="s">
        <v>248</v>
      </c>
      <c r="B36">
        <v>60</v>
      </c>
    </row>
    <row r="37" spans="1:2" x14ac:dyDescent="0.15">
      <c r="A37" t="s">
        <v>70</v>
      </c>
      <c r="B37">
        <v>322</v>
      </c>
    </row>
    <row r="38" spans="1:2" x14ac:dyDescent="0.15">
      <c r="A38" t="s">
        <v>87</v>
      </c>
      <c r="B38">
        <v>192</v>
      </c>
    </row>
    <row r="39" spans="1:2" x14ac:dyDescent="0.15">
      <c r="A39" t="s">
        <v>63</v>
      </c>
      <c r="B39">
        <v>74</v>
      </c>
    </row>
    <row r="40" spans="1:2" x14ac:dyDescent="0.15">
      <c r="A40" t="s">
        <v>34</v>
      </c>
      <c r="B40">
        <v>330</v>
      </c>
    </row>
    <row r="41" spans="1:2" x14ac:dyDescent="0.15">
      <c r="A41" t="s">
        <v>82</v>
      </c>
      <c r="B41">
        <v>19</v>
      </c>
    </row>
    <row r="42" spans="1:2" x14ac:dyDescent="0.15">
      <c r="A42" t="s">
        <v>115</v>
      </c>
      <c r="B42">
        <v>111</v>
      </c>
    </row>
    <row r="43" spans="1:2" x14ac:dyDescent="0.15">
      <c r="A43" t="s">
        <v>234</v>
      </c>
      <c r="B43">
        <v>74</v>
      </c>
    </row>
    <row r="44" spans="1:2" x14ac:dyDescent="0.15">
      <c r="A44" t="s">
        <v>78</v>
      </c>
      <c r="B44">
        <v>199</v>
      </c>
    </row>
    <row r="45" spans="1:2" x14ac:dyDescent="0.15">
      <c r="A45" t="s">
        <v>28</v>
      </c>
      <c r="B45">
        <v>915</v>
      </c>
    </row>
    <row r="46" spans="1:2" x14ac:dyDescent="0.15">
      <c r="A46" t="s">
        <v>96</v>
      </c>
      <c r="B46">
        <v>69</v>
      </c>
    </row>
    <row r="47" spans="1:2" x14ac:dyDescent="0.15">
      <c r="A47" t="s">
        <v>259</v>
      </c>
      <c r="B47">
        <v>18</v>
      </c>
    </row>
    <row r="48" spans="1:2" x14ac:dyDescent="0.15">
      <c r="A48" t="s">
        <v>80</v>
      </c>
      <c r="B48">
        <v>149</v>
      </c>
    </row>
    <row r="49" spans="1:2" x14ac:dyDescent="0.15">
      <c r="A49" t="s">
        <v>31</v>
      </c>
      <c r="B49">
        <v>130</v>
      </c>
    </row>
    <row r="50" spans="1:2" x14ac:dyDescent="0.15">
      <c r="A50" t="s">
        <v>208</v>
      </c>
      <c r="B50">
        <v>78</v>
      </c>
    </row>
    <row r="51" spans="1:2" x14ac:dyDescent="0.15">
      <c r="A51" t="s">
        <v>85</v>
      </c>
      <c r="B51">
        <v>183</v>
      </c>
    </row>
    <row r="52" spans="1:2" x14ac:dyDescent="0.15">
      <c r="A52" t="s">
        <v>372</v>
      </c>
      <c r="B52">
        <v>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28B42-7346-4E96-A4DC-CDFAB0133CE9}">
  <sheetPr codeName="Sheet4"/>
  <dimension ref="A1:P64"/>
  <sheetViews>
    <sheetView workbookViewId="0">
      <selection activeCell="K22" sqref="K22"/>
    </sheetView>
  </sheetViews>
  <sheetFormatPr baseColWidth="10" defaultColWidth="8.83203125" defaultRowHeight="14" x14ac:dyDescent="0.15"/>
  <cols>
    <col min="1" max="1" width="10.83203125" customWidth="1"/>
    <col min="2" max="2" width="15.5" customWidth="1"/>
    <col min="3" max="3" width="14.6640625" customWidth="1"/>
    <col min="4" max="4" width="15.83203125" customWidth="1"/>
    <col min="5" max="5" width="14.6640625" customWidth="1"/>
    <col min="6" max="6" width="16" customWidth="1"/>
    <col min="7" max="7" width="15.5" customWidth="1"/>
    <col min="8" max="8" width="16.33203125" customWidth="1"/>
    <col min="9" max="9" width="15.5" customWidth="1"/>
    <col min="10" max="10" width="16.6640625" customWidth="1"/>
  </cols>
  <sheetData>
    <row r="1" spans="1:16" x14ac:dyDescent="0.15">
      <c r="A1" t="s">
        <v>0</v>
      </c>
      <c r="B1" t="s">
        <v>394</v>
      </c>
      <c r="C1" t="s">
        <v>395</v>
      </c>
      <c r="D1" t="s">
        <v>396</v>
      </c>
      <c r="E1" t="s">
        <v>397</v>
      </c>
      <c r="F1" t="s">
        <v>398</v>
      </c>
      <c r="G1" t="s">
        <v>399</v>
      </c>
      <c r="H1" t="s">
        <v>400</v>
      </c>
      <c r="I1" t="s">
        <v>401</v>
      </c>
      <c r="J1" t="s">
        <v>402</v>
      </c>
      <c r="K1" t="s">
        <v>393</v>
      </c>
    </row>
    <row r="2" spans="1:16" hidden="1" x14ac:dyDescent="0.15">
      <c r="A2">
        <v>0</v>
      </c>
      <c r="B2" t="s">
        <v>101</v>
      </c>
      <c r="C2">
        <v>73</v>
      </c>
      <c r="D2">
        <v>73</v>
      </c>
      <c r="E2">
        <v>75</v>
      </c>
      <c r="F2">
        <v>76</v>
      </c>
      <c r="G2">
        <v>18</v>
      </c>
      <c r="H2">
        <v>28</v>
      </c>
      <c r="I2">
        <v>31</v>
      </c>
      <c r="J2">
        <v>21</v>
      </c>
      <c r="K2">
        <f>AVERAGE(Table_Weather_Data[[#This Row],[avg_temp_spr]:[avg_temp_wint]])</f>
        <v>24.5</v>
      </c>
    </row>
    <row r="3" spans="1:16" hidden="1" x14ac:dyDescent="0.15">
      <c r="A3">
        <v>1</v>
      </c>
      <c r="B3" t="s">
        <v>194</v>
      </c>
      <c r="C3">
        <v>68</v>
      </c>
      <c r="D3">
        <v>72</v>
      </c>
      <c r="E3">
        <v>78</v>
      </c>
      <c r="F3">
        <v>75</v>
      </c>
      <c r="G3">
        <v>28</v>
      </c>
      <c r="H3">
        <v>30</v>
      </c>
      <c r="I3">
        <v>30</v>
      </c>
      <c r="J3">
        <v>28</v>
      </c>
      <c r="K3">
        <f>AVERAGE(Table_Weather_Data[[#This Row],[avg_temp_spr]:[avg_temp_wint]])</f>
        <v>29</v>
      </c>
      <c r="L3" t="s">
        <v>2</v>
      </c>
      <c r="M3" t="s">
        <v>734</v>
      </c>
      <c r="N3" t="s">
        <v>735</v>
      </c>
      <c r="O3" t="s">
        <v>736</v>
      </c>
      <c r="P3" t="s">
        <v>737</v>
      </c>
    </row>
    <row r="4" spans="1:16" x14ac:dyDescent="0.15">
      <c r="A4">
        <v>2</v>
      </c>
      <c r="B4" t="s">
        <v>42</v>
      </c>
      <c r="C4">
        <v>82</v>
      </c>
      <c r="D4">
        <v>77</v>
      </c>
      <c r="E4">
        <v>80</v>
      </c>
      <c r="F4">
        <v>82</v>
      </c>
      <c r="G4">
        <v>26</v>
      </c>
      <c r="H4">
        <v>29</v>
      </c>
      <c r="I4">
        <v>29</v>
      </c>
      <c r="J4">
        <v>27</v>
      </c>
      <c r="K4" s="3">
        <f>AVERAGE(Table_Weather_Data[[#This Row],[avg_temp_spr]:[avg_temp_wint]])</f>
        <v>27.75</v>
      </c>
    </row>
    <row r="5" spans="1:16" hidden="1" x14ac:dyDescent="0.15">
      <c r="A5">
        <v>3</v>
      </c>
      <c r="B5" t="s">
        <v>136</v>
      </c>
      <c r="C5">
        <v>58</v>
      </c>
      <c r="D5">
        <v>68</v>
      </c>
      <c r="E5">
        <v>68</v>
      </c>
      <c r="F5">
        <v>68</v>
      </c>
      <c r="G5">
        <v>11</v>
      </c>
      <c r="H5">
        <v>26</v>
      </c>
      <c r="I5">
        <v>31</v>
      </c>
      <c r="J5">
        <v>13</v>
      </c>
      <c r="K5">
        <f>AVERAGE(Table_Weather_Data[[#This Row],[avg_temp_spr]:[avg_temp_wint]])</f>
        <v>20.25</v>
      </c>
    </row>
    <row r="6" spans="1:16" x14ac:dyDescent="0.15">
      <c r="A6">
        <v>4</v>
      </c>
      <c r="B6" t="s">
        <v>22</v>
      </c>
      <c r="C6">
        <v>43</v>
      </c>
      <c r="D6">
        <v>35</v>
      </c>
      <c r="E6">
        <v>25</v>
      </c>
      <c r="F6">
        <v>39</v>
      </c>
      <c r="G6">
        <v>16</v>
      </c>
      <c r="H6">
        <v>27</v>
      </c>
      <c r="I6">
        <v>35</v>
      </c>
      <c r="J6">
        <v>18</v>
      </c>
      <c r="K6" s="3">
        <f>AVERAGE(Table_Weather_Data[[#This Row],[avg_temp_spr]:[avg_temp_wint]])</f>
        <v>24</v>
      </c>
    </row>
    <row r="7" spans="1:16" x14ac:dyDescent="0.15">
      <c r="A7">
        <v>5</v>
      </c>
      <c r="B7" t="s">
        <v>53</v>
      </c>
      <c r="C7">
        <v>46</v>
      </c>
      <c r="D7">
        <v>44</v>
      </c>
      <c r="E7">
        <v>50</v>
      </c>
      <c r="F7">
        <v>53</v>
      </c>
      <c r="G7">
        <v>6</v>
      </c>
      <c r="H7">
        <v>20</v>
      </c>
      <c r="I7">
        <v>24</v>
      </c>
      <c r="J7">
        <v>7</v>
      </c>
      <c r="K7" s="3">
        <f>AVERAGE(Table_Weather_Data[[#This Row],[avg_temp_spr]:[avg_temp_wint]])</f>
        <v>14.25</v>
      </c>
    </row>
    <row r="8" spans="1:16" hidden="1" x14ac:dyDescent="0.15">
      <c r="A8">
        <v>6</v>
      </c>
      <c r="B8" t="s">
        <v>98</v>
      </c>
      <c r="C8">
        <v>74</v>
      </c>
      <c r="D8">
        <v>68</v>
      </c>
      <c r="E8">
        <v>75</v>
      </c>
      <c r="F8">
        <v>73</v>
      </c>
      <c r="G8">
        <v>4</v>
      </c>
      <c r="H8">
        <v>20</v>
      </c>
      <c r="I8">
        <v>27</v>
      </c>
      <c r="J8">
        <v>9</v>
      </c>
      <c r="K8">
        <f>AVERAGE(Table_Weather_Data[[#This Row],[avg_temp_spr]:[avg_temp_wint]])</f>
        <v>15</v>
      </c>
    </row>
    <row r="9" spans="1:16" hidden="1" x14ac:dyDescent="0.15">
      <c r="A9">
        <v>7</v>
      </c>
      <c r="B9" t="s">
        <v>284</v>
      </c>
      <c r="C9">
        <v>76</v>
      </c>
      <c r="D9">
        <v>71</v>
      </c>
      <c r="E9">
        <v>78</v>
      </c>
      <c r="F9">
        <v>77</v>
      </c>
      <c r="G9">
        <v>4</v>
      </c>
      <c r="H9">
        <v>22</v>
      </c>
      <c r="I9">
        <v>27</v>
      </c>
      <c r="J9">
        <v>9</v>
      </c>
      <c r="K9">
        <f>AVERAGE(Table_Weather_Data[[#This Row],[avg_temp_spr]:[avg_temp_wint]])</f>
        <v>15.5</v>
      </c>
    </row>
    <row r="10" spans="1:16" x14ac:dyDescent="0.15">
      <c r="A10">
        <v>8</v>
      </c>
      <c r="B10" t="s">
        <v>36</v>
      </c>
      <c r="C10">
        <v>64</v>
      </c>
      <c r="D10">
        <v>78</v>
      </c>
      <c r="E10">
        <v>74</v>
      </c>
      <c r="F10">
        <v>76</v>
      </c>
      <c r="G10">
        <v>25</v>
      </c>
      <c r="H10">
        <v>23</v>
      </c>
      <c r="I10">
        <v>23</v>
      </c>
      <c r="J10">
        <v>23</v>
      </c>
      <c r="K10" s="3">
        <f>AVERAGE(Table_Weather_Data[[#This Row],[avg_temp_spr]:[avg_temp_wint]])</f>
        <v>23.5</v>
      </c>
    </row>
    <row r="11" spans="1:16" x14ac:dyDescent="0.15">
      <c r="A11">
        <v>9</v>
      </c>
      <c r="B11" t="s">
        <v>38</v>
      </c>
      <c r="C11">
        <v>67</v>
      </c>
      <c r="D11">
        <v>58</v>
      </c>
      <c r="E11">
        <v>51</v>
      </c>
      <c r="F11">
        <v>67</v>
      </c>
      <c r="G11">
        <v>9</v>
      </c>
      <c r="H11">
        <v>23</v>
      </c>
      <c r="I11">
        <v>29</v>
      </c>
      <c r="J11">
        <v>12</v>
      </c>
      <c r="K11" s="3">
        <f>AVERAGE(Table_Weather_Data[[#This Row],[avg_temp_spr]:[avg_temp_wint]])</f>
        <v>18.25</v>
      </c>
    </row>
    <row r="12" spans="1:16" hidden="1" x14ac:dyDescent="0.15">
      <c r="A12">
        <v>10</v>
      </c>
      <c r="B12" t="s">
        <v>106</v>
      </c>
      <c r="C12">
        <v>52</v>
      </c>
      <c r="D12">
        <v>64</v>
      </c>
      <c r="E12">
        <v>64</v>
      </c>
      <c r="F12">
        <v>54</v>
      </c>
      <c r="G12">
        <v>19</v>
      </c>
      <c r="H12">
        <v>22</v>
      </c>
      <c r="I12">
        <v>27</v>
      </c>
      <c r="J12">
        <v>21</v>
      </c>
      <c r="K12">
        <f>AVERAGE(Table_Weather_Data[[#This Row],[avg_temp_spr]:[avg_temp_wint]])</f>
        <v>22.25</v>
      </c>
    </row>
    <row r="13" spans="1:16" hidden="1" x14ac:dyDescent="0.15">
      <c r="A13">
        <v>11</v>
      </c>
      <c r="B13" t="s">
        <v>299</v>
      </c>
      <c r="C13">
        <v>70</v>
      </c>
      <c r="D13">
        <v>52</v>
      </c>
      <c r="E13">
        <v>31</v>
      </c>
      <c r="F13">
        <v>65</v>
      </c>
      <c r="G13">
        <v>2</v>
      </c>
      <c r="H13">
        <v>19</v>
      </c>
      <c r="I13">
        <v>28</v>
      </c>
      <c r="J13">
        <v>5</v>
      </c>
      <c r="K13">
        <f>AVERAGE(Table_Weather_Data[[#This Row],[avg_temp_spr]:[avg_temp_wint]])</f>
        <v>13.5</v>
      </c>
    </row>
    <row r="14" spans="1:16" hidden="1" x14ac:dyDescent="0.15">
      <c r="A14">
        <v>12</v>
      </c>
      <c r="B14" t="s">
        <v>25</v>
      </c>
      <c r="C14">
        <v>73</v>
      </c>
      <c r="D14">
        <v>72</v>
      </c>
      <c r="E14">
        <v>80</v>
      </c>
      <c r="F14">
        <v>74</v>
      </c>
      <c r="G14">
        <v>2</v>
      </c>
      <c r="H14">
        <v>22</v>
      </c>
      <c r="I14">
        <v>26</v>
      </c>
      <c r="J14">
        <v>7</v>
      </c>
      <c r="K14">
        <f>AVERAGE(Table_Weather_Data[[#This Row],[avg_temp_spr]:[avg_temp_wint]])</f>
        <v>14.25</v>
      </c>
    </row>
    <row r="15" spans="1:16" hidden="1" x14ac:dyDescent="0.15">
      <c r="A15">
        <v>13</v>
      </c>
      <c r="B15" t="s">
        <v>74</v>
      </c>
      <c r="C15">
        <v>75</v>
      </c>
      <c r="D15">
        <v>73</v>
      </c>
      <c r="E15">
        <v>83</v>
      </c>
      <c r="F15">
        <v>77</v>
      </c>
      <c r="G15">
        <v>4</v>
      </c>
      <c r="H15">
        <v>22</v>
      </c>
      <c r="I15">
        <v>26</v>
      </c>
      <c r="J15">
        <v>9</v>
      </c>
      <c r="K15">
        <f>AVERAGE(Table_Weather_Data[[#This Row],[avg_temp_spr]:[avg_temp_wint]])</f>
        <v>15.25</v>
      </c>
    </row>
    <row r="16" spans="1:16" hidden="1" x14ac:dyDescent="0.15">
      <c r="A16">
        <v>14</v>
      </c>
      <c r="B16" t="s">
        <v>139</v>
      </c>
      <c r="C16">
        <v>74</v>
      </c>
      <c r="D16">
        <v>75</v>
      </c>
      <c r="E16">
        <v>82</v>
      </c>
      <c r="F16">
        <v>74</v>
      </c>
      <c r="G16">
        <v>2</v>
      </c>
      <c r="H16">
        <v>21</v>
      </c>
      <c r="I16">
        <v>26</v>
      </c>
      <c r="J16">
        <v>7</v>
      </c>
      <c r="K16">
        <f>AVERAGE(Table_Weather_Data[[#This Row],[avg_temp_spr]:[avg_temp_wint]])</f>
        <v>14</v>
      </c>
    </row>
    <row r="17" spans="1:11" hidden="1" x14ac:dyDescent="0.15">
      <c r="A17">
        <v>15</v>
      </c>
      <c r="B17" t="s">
        <v>149</v>
      </c>
      <c r="C17">
        <v>65</v>
      </c>
      <c r="D17">
        <v>66</v>
      </c>
      <c r="E17">
        <v>70</v>
      </c>
      <c r="F17">
        <v>69</v>
      </c>
      <c r="G17">
        <v>6</v>
      </c>
      <c r="H17">
        <v>25</v>
      </c>
      <c r="I17">
        <v>29</v>
      </c>
      <c r="J17">
        <v>10</v>
      </c>
      <c r="K17">
        <f>AVERAGE(Table_Weather_Data[[#This Row],[avg_temp_spr]:[avg_temp_wint]])</f>
        <v>17.5</v>
      </c>
    </row>
    <row r="18" spans="1:11" hidden="1" x14ac:dyDescent="0.15">
      <c r="A18">
        <v>16</v>
      </c>
      <c r="B18" t="s">
        <v>92</v>
      </c>
      <c r="C18">
        <v>28</v>
      </c>
      <c r="D18">
        <v>39</v>
      </c>
      <c r="E18">
        <v>36</v>
      </c>
      <c r="F18">
        <v>24</v>
      </c>
      <c r="G18">
        <v>33</v>
      </c>
      <c r="H18">
        <v>23</v>
      </c>
      <c r="I18">
        <v>20</v>
      </c>
      <c r="J18">
        <v>31</v>
      </c>
      <c r="K18">
        <f>AVERAGE(Table_Weather_Data[[#This Row],[avg_temp_spr]:[avg_temp_wint]])</f>
        <v>26.75</v>
      </c>
    </row>
    <row r="19" spans="1:11" hidden="1" x14ac:dyDescent="0.15">
      <c r="A19">
        <v>17</v>
      </c>
      <c r="B19" t="s">
        <v>94</v>
      </c>
      <c r="C19">
        <v>71</v>
      </c>
      <c r="D19">
        <v>74</v>
      </c>
      <c r="E19">
        <v>79</v>
      </c>
      <c r="F19">
        <v>75</v>
      </c>
      <c r="G19">
        <v>5</v>
      </c>
      <c r="H19">
        <v>24</v>
      </c>
      <c r="I19">
        <v>28</v>
      </c>
      <c r="J19">
        <v>10</v>
      </c>
      <c r="K19">
        <f>AVERAGE(Table_Weather_Data[[#This Row],[avg_temp_spr]:[avg_temp_wint]])</f>
        <v>16.75</v>
      </c>
    </row>
    <row r="20" spans="1:11" hidden="1" x14ac:dyDescent="0.15">
      <c r="A20">
        <v>18</v>
      </c>
      <c r="B20" t="s">
        <v>161</v>
      </c>
      <c r="C20">
        <v>14</v>
      </c>
      <c r="D20">
        <v>22</v>
      </c>
      <c r="E20">
        <v>42</v>
      </c>
      <c r="F20">
        <v>18</v>
      </c>
      <c r="G20">
        <v>34</v>
      </c>
      <c r="H20">
        <v>40</v>
      </c>
      <c r="I20">
        <v>36</v>
      </c>
      <c r="J20">
        <v>34</v>
      </c>
      <c r="K20">
        <f>AVERAGE(Table_Weather_Data[[#This Row],[avg_temp_spr]:[avg_temp_wint]])</f>
        <v>36</v>
      </c>
    </row>
    <row r="21" spans="1:11" hidden="1" x14ac:dyDescent="0.15">
      <c r="A21">
        <v>19</v>
      </c>
      <c r="B21" t="s">
        <v>55</v>
      </c>
      <c r="C21">
        <v>69</v>
      </c>
      <c r="D21">
        <v>68</v>
      </c>
      <c r="E21">
        <v>73</v>
      </c>
      <c r="F21">
        <v>71</v>
      </c>
      <c r="G21">
        <v>7</v>
      </c>
      <c r="H21">
        <v>25</v>
      </c>
      <c r="I21">
        <v>29</v>
      </c>
      <c r="J21">
        <v>11</v>
      </c>
      <c r="K21">
        <f>AVERAGE(Table_Weather_Data[[#This Row],[avg_temp_spr]:[avg_temp_wint]])</f>
        <v>18</v>
      </c>
    </row>
    <row r="22" spans="1:11" x14ac:dyDescent="0.15">
      <c r="A22">
        <v>20</v>
      </c>
      <c r="B22" t="s">
        <v>40</v>
      </c>
      <c r="C22">
        <v>74</v>
      </c>
      <c r="D22">
        <v>62</v>
      </c>
      <c r="E22">
        <v>67</v>
      </c>
      <c r="F22">
        <v>66</v>
      </c>
      <c r="G22">
        <v>4</v>
      </c>
      <c r="H22">
        <v>20</v>
      </c>
      <c r="I22">
        <v>27</v>
      </c>
      <c r="J22">
        <v>9</v>
      </c>
      <c r="K22" s="3">
        <f>AVERAGE(Table_Weather_Data[[#This Row],[avg_temp_spr]:[avg_temp_wint]])</f>
        <v>15</v>
      </c>
    </row>
    <row r="23" spans="1:11" hidden="1" x14ac:dyDescent="0.15">
      <c r="A23">
        <v>21</v>
      </c>
      <c r="B23" t="s">
        <v>46</v>
      </c>
      <c r="C23">
        <v>76</v>
      </c>
      <c r="D23">
        <v>77</v>
      </c>
      <c r="E23">
        <v>84</v>
      </c>
      <c r="F23">
        <v>78</v>
      </c>
      <c r="G23">
        <v>2</v>
      </c>
      <c r="H23">
        <v>17</v>
      </c>
      <c r="I23">
        <v>23</v>
      </c>
      <c r="J23">
        <v>7</v>
      </c>
      <c r="K23">
        <f>AVERAGE(Table_Weather_Data[[#This Row],[avg_temp_spr]:[avg_temp_wint]])</f>
        <v>12.25</v>
      </c>
    </row>
    <row r="24" spans="1:11" hidden="1" x14ac:dyDescent="0.15">
      <c r="A24">
        <v>22</v>
      </c>
      <c r="B24" t="s">
        <v>49</v>
      </c>
      <c r="C24">
        <v>84</v>
      </c>
      <c r="D24">
        <v>83</v>
      </c>
      <c r="E24">
        <v>85</v>
      </c>
      <c r="F24">
        <v>81</v>
      </c>
      <c r="G24">
        <v>-2</v>
      </c>
      <c r="H24">
        <v>18</v>
      </c>
      <c r="I24">
        <v>24</v>
      </c>
      <c r="J24">
        <v>3</v>
      </c>
      <c r="K24">
        <f>AVERAGE(Table_Weather_Data[[#This Row],[avg_temp_spr]:[avg_temp_wint]])</f>
        <v>10.75</v>
      </c>
    </row>
    <row r="25" spans="1:11" hidden="1" x14ac:dyDescent="0.15">
      <c r="A25">
        <v>23</v>
      </c>
      <c r="B25" t="s">
        <v>154</v>
      </c>
      <c r="C25">
        <v>74</v>
      </c>
      <c r="D25">
        <v>74</v>
      </c>
      <c r="E25">
        <v>76</v>
      </c>
      <c r="F25">
        <v>76</v>
      </c>
      <c r="G25">
        <v>15</v>
      </c>
      <c r="H25">
        <v>28</v>
      </c>
      <c r="I25">
        <v>32</v>
      </c>
      <c r="J25">
        <v>17</v>
      </c>
      <c r="K25">
        <f>AVERAGE(Table_Weather_Data[[#This Row],[avg_temp_spr]:[avg_temp_wint]])</f>
        <v>23</v>
      </c>
    </row>
    <row r="26" spans="1:11" hidden="1" x14ac:dyDescent="0.15">
      <c r="A26">
        <v>24</v>
      </c>
      <c r="B26" t="s">
        <v>57</v>
      </c>
      <c r="C26">
        <v>73</v>
      </c>
      <c r="D26">
        <v>72</v>
      </c>
      <c r="E26">
        <v>77</v>
      </c>
      <c r="F26">
        <v>75</v>
      </c>
      <c r="G26">
        <v>19</v>
      </c>
      <c r="H26">
        <v>30</v>
      </c>
      <c r="I26">
        <v>32</v>
      </c>
      <c r="J26">
        <v>20</v>
      </c>
      <c r="K26">
        <f>AVERAGE(Table_Weather_Data[[#This Row],[avg_temp_spr]:[avg_temp_wint]])</f>
        <v>25.25</v>
      </c>
    </row>
    <row r="27" spans="1:11" hidden="1" x14ac:dyDescent="0.15">
      <c r="A27">
        <v>25</v>
      </c>
      <c r="B27" t="s">
        <v>281</v>
      </c>
      <c r="C27">
        <v>79</v>
      </c>
      <c r="D27">
        <v>68</v>
      </c>
      <c r="E27">
        <v>56</v>
      </c>
      <c r="F27">
        <v>72</v>
      </c>
      <c r="G27">
        <v>6</v>
      </c>
      <c r="H27">
        <v>23</v>
      </c>
      <c r="I27">
        <v>27</v>
      </c>
      <c r="J27">
        <v>10</v>
      </c>
      <c r="K27">
        <f>AVERAGE(Table_Weather_Data[[#This Row],[avg_temp_spr]:[avg_temp_wint]])</f>
        <v>16.5</v>
      </c>
    </row>
    <row r="28" spans="1:11" hidden="1" x14ac:dyDescent="0.15">
      <c r="A28">
        <v>26</v>
      </c>
      <c r="B28" t="s">
        <v>112</v>
      </c>
      <c r="C28">
        <v>77</v>
      </c>
      <c r="D28">
        <v>76</v>
      </c>
      <c r="E28">
        <v>84</v>
      </c>
      <c r="F28">
        <v>77</v>
      </c>
      <c r="G28">
        <v>5</v>
      </c>
      <c r="H28">
        <v>23</v>
      </c>
      <c r="I28">
        <v>26</v>
      </c>
      <c r="J28">
        <v>10</v>
      </c>
      <c r="K28">
        <f>AVERAGE(Table_Weather_Data[[#This Row],[avg_temp_spr]:[avg_temp_wint]])</f>
        <v>16</v>
      </c>
    </row>
    <row r="29" spans="1:11" hidden="1" x14ac:dyDescent="0.15">
      <c r="A29">
        <v>27</v>
      </c>
      <c r="B29" t="s">
        <v>68</v>
      </c>
      <c r="C29">
        <v>90</v>
      </c>
      <c r="D29">
        <v>90</v>
      </c>
      <c r="E29">
        <v>82</v>
      </c>
      <c r="F29">
        <v>91</v>
      </c>
      <c r="G29">
        <v>20</v>
      </c>
      <c r="H29">
        <v>20</v>
      </c>
      <c r="I29">
        <v>22</v>
      </c>
      <c r="J29">
        <v>20</v>
      </c>
      <c r="K29">
        <f>AVERAGE(Table_Weather_Data[[#This Row],[avg_temp_spr]:[avg_temp_wint]])</f>
        <v>20.5</v>
      </c>
    </row>
    <row r="30" spans="1:11" hidden="1" x14ac:dyDescent="0.15">
      <c r="A30">
        <v>28</v>
      </c>
      <c r="B30" t="s">
        <v>403</v>
      </c>
      <c r="C30">
        <v>77</v>
      </c>
      <c r="D30">
        <v>75</v>
      </c>
      <c r="E30">
        <v>85</v>
      </c>
      <c r="F30">
        <v>79</v>
      </c>
      <c r="G30">
        <v>4</v>
      </c>
      <c r="H30">
        <v>21</v>
      </c>
      <c r="I30">
        <v>25</v>
      </c>
      <c r="J30">
        <v>8</v>
      </c>
      <c r="K30">
        <f>AVERAGE(Table_Weather_Data[[#This Row],[avg_temp_spr]:[avg_temp_wint]])</f>
        <v>14.5</v>
      </c>
    </row>
    <row r="31" spans="1:11" hidden="1" x14ac:dyDescent="0.15">
      <c r="A31">
        <v>29</v>
      </c>
      <c r="B31" t="s">
        <v>404</v>
      </c>
      <c r="C31">
        <v>69</v>
      </c>
      <c r="D31">
        <v>64</v>
      </c>
      <c r="E31">
        <v>68</v>
      </c>
      <c r="F31">
        <v>66</v>
      </c>
      <c r="G31">
        <v>5</v>
      </c>
      <c r="H31">
        <v>20</v>
      </c>
      <c r="I31">
        <v>28</v>
      </c>
      <c r="J31">
        <v>11</v>
      </c>
      <c r="K31">
        <f>AVERAGE(Table_Weather_Data[[#This Row],[avg_temp_spr]:[avg_temp_wint]])</f>
        <v>16</v>
      </c>
    </row>
    <row r="32" spans="1:11" hidden="1" x14ac:dyDescent="0.15">
      <c r="A32">
        <v>30</v>
      </c>
      <c r="B32" t="s">
        <v>405</v>
      </c>
      <c r="C32">
        <v>56</v>
      </c>
      <c r="D32">
        <v>69</v>
      </c>
      <c r="E32">
        <v>67</v>
      </c>
      <c r="F32">
        <v>59</v>
      </c>
      <c r="G32">
        <v>30</v>
      </c>
      <c r="H32">
        <v>20</v>
      </c>
      <c r="I32">
        <v>17</v>
      </c>
      <c r="J32">
        <v>27</v>
      </c>
      <c r="K32">
        <f>AVERAGE(Table_Weather_Data[[#This Row],[avg_temp_spr]:[avg_temp_wint]])</f>
        <v>23.5</v>
      </c>
    </row>
    <row r="33" spans="1:11" x14ac:dyDescent="0.15">
      <c r="A33">
        <v>31</v>
      </c>
      <c r="B33" t="s">
        <v>406</v>
      </c>
      <c r="C33">
        <v>68</v>
      </c>
      <c r="D33">
        <v>63</v>
      </c>
      <c r="E33">
        <v>67</v>
      </c>
      <c r="F33">
        <v>66</v>
      </c>
      <c r="G33">
        <v>5</v>
      </c>
      <c r="H33">
        <v>20</v>
      </c>
      <c r="I33">
        <v>28</v>
      </c>
      <c r="J33">
        <v>11</v>
      </c>
      <c r="K33" s="3">
        <f>AVERAGE(Table_Weather_Data[[#This Row],[avg_temp_spr]:[avg_temp_wint]])</f>
        <v>16</v>
      </c>
    </row>
    <row r="34" spans="1:11" x14ac:dyDescent="0.15">
      <c r="A34">
        <v>32</v>
      </c>
      <c r="B34" t="s">
        <v>407</v>
      </c>
      <c r="C34">
        <v>71</v>
      </c>
      <c r="D34">
        <v>74</v>
      </c>
      <c r="E34">
        <v>78</v>
      </c>
      <c r="F34">
        <v>77</v>
      </c>
      <c r="G34">
        <v>11</v>
      </c>
      <c r="H34">
        <v>25</v>
      </c>
      <c r="I34">
        <v>29</v>
      </c>
      <c r="J34">
        <v>14</v>
      </c>
      <c r="K34" s="3">
        <f>AVERAGE(Table_Weather_Data[[#This Row],[avg_temp_spr]:[avg_temp_wint]])</f>
        <v>19.75</v>
      </c>
    </row>
    <row r="35" spans="1:11" hidden="1" x14ac:dyDescent="0.15">
      <c r="A35">
        <v>33</v>
      </c>
      <c r="B35" t="s">
        <v>408</v>
      </c>
      <c r="C35">
        <v>75</v>
      </c>
      <c r="D35">
        <v>77</v>
      </c>
      <c r="E35">
        <v>85</v>
      </c>
      <c r="F35">
        <v>78</v>
      </c>
      <c r="G35">
        <v>1</v>
      </c>
      <c r="H35">
        <v>19</v>
      </c>
      <c r="I35">
        <v>25</v>
      </c>
      <c r="J35">
        <v>6</v>
      </c>
      <c r="K35">
        <f>AVERAGE(Table_Weather_Data[[#This Row],[avg_temp_spr]:[avg_temp_wint]])</f>
        <v>12.75</v>
      </c>
    </row>
    <row r="36" spans="1:11" hidden="1" x14ac:dyDescent="0.15">
      <c r="A36">
        <v>34</v>
      </c>
      <c r="B36" t="s">
        <v>70</v>
      </c>
      <c r="C36">
        <v>77</v>
      </c>
      <c r="D36">
        <v>73</v>
      </c>
      <c r="E36">
        <v>84</v>
      </c>
      <c r="F36">
        <v>77</v>
      </c>
      <c r="G36">
        <v>3</v>
      </c>
      <c r="H36">
        <v>21</v>
      </c>
      <c r="I36">
        <v>26</v>
      </c>
      <c r="J36">
        <v>8</v>
      </c>
      <c r="K36">
        <f>AVERAGE(Table_Weather_Data[[#This Row],[avg_temp_spr]:[avg_temp_wint]])</f>
        <v>14.5</v>
      </c>
    </row>
    <row r="37" spans="1:11" hidden="1" x14ac:dyDescent="0.15">
      <c r="A37">
        <v>35</v>
      </c>
      <c r="B37" t="s">
        <v>87</v>
      </c>
      <c r="C37">
        <v>57</v>
      </c>
      <c r="D37">
        <v>64</v>
      </c>
      <c r="E37">
        <v>66</v>
      </c>
      <c r="F37">
        <v>65</v>
      </c>
      <c r="G37">
        <v>12</v>
      </c>
      <c r="H37">
        <v>27</v>
      </c>
      <c r="I37">
        <v>31</v>
      </c>
      <c r="J37">
        <v>14</v>
      </c>
      <c r="K37">
        <f>AVERAGE(Table_Weather_Data[[#This Row],[avg_temp_spr]:[avg_temp_wint]])</f>
        <v>21</v>
      </c>
    </row>
    <row r="38" spans="1:11" hidden="1" x14ac:dyDescent="0.15">
      <c r="A38">
        <v>36</v>
      </c>
      <c r="B38" t="s">
        <v>63</v>
      </c>
      <c r="C38">
        <v>77</v>
      </c>
      <c r="D38">
        <v>66</v>
      </c>
      <c r="E38">
        <v>58</v>
      </c>
      <c r="F38">
        <v>71</v>
      </c>
      <c r="G38">
        <v>10</v>
      </c>
      <c r="H38">
        <v>19</v>
      </c>
      <c r="I38">
        <v>26</v>
      </c>
      <c r="J38">
        <v>13</v>
      </c>
      <c r="K38">
        <f>AVERAGE(Table_Weather_Data[[#This Row],[avg_temp_spr]:[avg_temp_wint]])</f>
        <v>17</v>
      </c>
    </row>
    <row r="39" spans="1:11" hidden="1" x14ac:dyDescent="0.15">
      <c r="A39">
        <v>37</v>
      </c>
      <c r="B39" t="s">
        <v>34</v>
      </c>
      <c r="C39">
        <v>77</v>
      </c>
      <c r="D39">
        <v>78</v>
      </c>
      <c r="E39">
        <v>84</v>
      </c>
      <c r="F39">
        <v>82</v>
      </c>
      <c r="G39">
        <v>3</v>
      </c>
      <c r="H39">
        <v>20</v>
      </c>
      <c r="I39">
        <v>25</v>
      </c>
      <c r="J39">
        <v>7</v>
      </c>
      <c r="K39">
        <f>AVERAGE(Table_Weather_Data[[#This Row],[avg_temp_spr]:[avg_temp_wint]])</f>
        <v>13.75</v>
      </c>
    </row>
    <row r="40" spans="1:11" hidden="1" x14ac:dyDescent="0.15">
      <c r="A40">
        <v>38</v>
      </c>
      <c r="B40" t="s">
        <v>409</v>
      </c>
      <c r="C40">
        <v>74</v>
      </c>
      <c r="D40">
        <v>73</v>
      </c>
      <c r="E40">
        <v>78</v>
      </c>
      <c r="F40">
        <v>71</v>
      </c>
      <c r="G40">
        <v>5</v>
      </c>
      <c r="H40">
        <v>18</v>
      </c>
      <c r="I40">
        <v>26</v>
      </c>
      <c r="J40">
        <v>10</v>
      </c>
      <c r="K40">
        <f>AVERAGE(Table_Weather_Data[[#This Row],[avg_temp_spr]:[avg_temp_wint]])</f>
        <v>14.75</v>
      </c>
    </row>
    <row r="41" spans="1:11" hidden="1" x14ac:dyDescent="0.15">
      <c r="A41">
        <v>39</v>
      </c>
      <c r="B41" t="s">
        <v>410</v>
      </c>
      <c r="C41">
        <v>62</v>
      </c>
      <c r="D41">
        <v>47</v>
      </c>
      <c r="E41">
        <v>37</v>
      </c>
      <c r="F41">
        <v>48</v>
      </c>
      <c r="G41">
        <v>26</v>
      </c>
      <c r="H41">
        <v>21</v>
      </c>
      <c r="I41">
        <v>22</v>
      </c>
      <c r="J41">
        <v>27</v>
      </c>
      <c r="K41">
        <f>AVERAGE(Table_Weather_Data[[#This Row],[avg_temp_spr]:[avg_temp_wint]])</f>
        <v>24</v>
      </c>
    </row>
    <row r="42" spans="1:11" hidden="1" x14ac:dyDescent="0.15">
      <c r="A42">
        <v>40</v>
      </c>
      <c r="B42" t="s">
        <v>411</v>
      </c>
      <c r="C42">
        <v>83</v>
      </c>
      <c r="D42">
        <v>73</v>
      </c>
      <c r="E42">
        <v>67</v>
      </c>
      <c r="F42">
        <v>75</v>
      </c>
      <c r="G42">
        <v>-4</v>
      </c>
      <c r="H42">
        <v>19</v>
      </c>
      <c r="I42">
        <v>26</v>
      </c>
      <c r="J42">
        <v>3</v>
      </c>
      <c r="K42">
        <f>AVERAGE(Table_Weather_Data[[#This Row],[avg_temp_spr]:[avg_temp_wint]])</f>
        <v>11</v>
      </c>
    </row>
    <row r="43" spans="1:11" hidden="1" x14ac:dyDescent="0.15">
      <c r="A43">
        <v>41</v>
      </c>
      <c r="B43" t="s">
        <v>78</v>
      </c>
      <c r="C43">
        <v>72</v>
      </c>
      <c r="D43">
        <v>74</v>
      </c>
      <c r="E43">
        <v>81</v>
      </c>
      <c r="F43">
        <v>74</v>
      </c>
      <c r="G43">
        <v>4</v>
      </c>
      <c r="H43">
        <v>23</v>
      </c>
      <c r="I43">
        <v>27</v>
      </c>
      <c r="J43">
        <v>8</v>
      </c>
      <c r="K43">
        <f>AVERAGE(Table_Weather_Data[[#This Row],[avg_temp_spr]:[avg_temp_wint]])</f>
        <v>15.5</v>
      </c>
    </row>
    <row r="44" spans="1:11" x14ac:dyDescent="0.15">
      <c r="A44">
        <v>42</v>
      </c>
      <c r="B44" t="s">
        <v>28</v>
      </c>
      <c r="C44">
        <v>77</v>
      </c>
      <c r="D44">
        <v>74</v>
      </c>
      <c r="E44">
        <v>75</v>
      </c>
      <c r="F44">
        <v>75</v>
      </c>
      <c r="G44">
        <v>18</v>
      </c>
      <c r="H44">
        <v>27</v>
      </c>
      <c r="I44">
        <v>31</v>
      </c>
      <c r="J44">
        <v>21</v>
      </c>
      <c r="K44" s="3">
        <f>AVERAGE(Table_Weather_Data[[#This Row],[avg_temp_spr]:[avg_temp_wint]])</f>
        <v>24.25</v>
      </c>
    </row>
    <row r="45" spans="1:11" hidden="1" x14ac:dyDescent="0.15">
      <c r="A45">
        <v>43</v>
      </c>
      <c r="B45" t="s">
        <v>96</v>
      </c>
      <c r="C45">
        <v>65</v>
      </c>
      <c r="D45">
        <v>42</v>
      </c>
      <c r="E45">
        <v>28</v>
      </c>
      <c r="F45">
        <v>46</v>
      </c>
      <c r="G45">
        <v>-1</v>
      </c>
      <c r="H45">
        <v>14</v>
      </c>
      <c r="I45">
        <v>20</v>
      </c>
      <c r="J45">
        <v>4</v>
      </c>
      <c r="K45">
        <f>AVERAGE(Table_Weather_Data[[#This Row],[avg_temp_spr]:[avg_temp_wint]])</f>
        <v>9.25</v>
      </c>
    </row>
    <row r="46" spans="1:11" hidden="1" x14ac:dyDescent="0.15">
      <c r="A46">
        <v>44</v>
      </c>
      <c r="B46" t="s">
        <v>259</v>
      </c>
      <c r="C46">
        <v>74</v>
      </c>
      <c r="D46">
        <v>77</v>
      </c>
      <c r="E46">
        <v>77</v>
      </c>
      <c r="F46">
        <v>76</v>
      </c>
      <c r="G46">
        <v>26</v>
      </c>
      <c r="H46">
        <v>27</v>
      </c>
      <c r="I46">
        <v>28</v>
      </c>
      <c r="J46">
        <v>28</v>
      </c>
      <c r="K46">
        <f>AVERAGE(Table_Weather_Data[[#This Row],[avg_temp_spr]:[avg_temp_wint]])</f>
        <v>27.25</v>
      </c>
    </row>
    <row r="47" spans="1:11" hidden="1" x14ac:dyDescent="0.15">
      <c r="A47">
        <v>45</v>
      </c>
      <c r="B47" t="s">
        <v>80</v>
      </c>
      <c r="C47">
        <v>76</v>
      </c>
      <c r="D47">
        <v>78</v>
      </c>
      <c r="E47">
        <v>78</v>
      </c>
      <c r="F47">
        <v>73</v>
      </c>
      <c r="G47">
        <v>8</v>
      </c>
      <c r="H47">
        <v>21</v>
      </c>
      <c r="I47">
        <v>28</v>
      </c>
      <c r="J47">
        <v>15</v>
      </c>
      <c r="K47">
        <f>AVERAGE(Table_Weather_Data[[#This Row],[avg_temp_spr]:[avg_temp_wint]])</f>
        <v>18</v>
      </c>
    </row>
    <row r="48" spans="1:11" x14ac:dyDescent="0.15">
      <c r="A48">
        <v>46</v>
      </c>
      <c r="B48" t="s">
        <v>31</v>
      </c>
      <c r="C48">
        <v>63</v>
      </c>
      <c r="D48">
        <v>62</v>
      </c>
      <c r="E48">
        <v>68</v>
      </c>
      <c r="F48">
        <v>66</v>
      </c>
      <c r="G48">
        <v>8</v>
      </c>
      <c r="H48">
        <v>25</v>
      </c>
      <c r="I48">
        <v>30</v>
      </c>
      <c r="J48">
        <v>13</v>
      </c>
      <c r="K48" s="3">
        <f>AVERAGE(Table_Weather_Data[[#This Row],[avg_temp_spr]:[avg_temp_wint]])</f>
        <v>19</v>
      </c>
    </row>
    <row r="49" spans="1:11" hidden="1" x14ac:dyDescent="0.15">
      <c r="A49">
        <v>47</v>
      </c>
      <c r="B49" t="s">
        <v>412</v>
      </c>
      <c r="C49">
        <v>74</v>
      </c>
      <c r="D49">
        <v>77</v>
      </c>
      <c r="E49">
        <v>81</v>
      </c>
      <c r="F49">
        <v>78</v>
      </c>
      <c r="G49">
        <v>5</v>
      </c>
      <c r="H49">
        <v>21</v>
      </c>
      <c r="I49">
        <v>26</v>
      </c>
      <c r="J49">
        <v>9</v>
      </c>
      <c r="K49">
        <f>AVERAGE(Table_Weather_Data[[#This Row],[avg_temp_spr]:[avg_temp_wint]])</f>
        <v>15.25</v>
      </c>
    </row>
    <row r="50" spans="1:11" hidden="1" x14ac:dyDescent="0.15">
      <c r="A50">
        <v>48</v>
      </c>
      <c r="B50" t="s">
        <v>85</v>
      </c>
      <c r="C50">
        <v>81</v>
      </c>
      <c r="D50">
        <v>79</v>
      </c>
      <c r="E50">
        <v>79</v>
      </c>
      <c r="F50">
        <v>79</v>
      </c>
      <c r="G50">
        <v>-2</v>
      </c>
      <c r="H50">
        <v>17</v>
      </c>
      <c r="I50">
        <v>24</v>
      </c>
      <c r="J50">
        <v>3</v>
      </c>
      <c r="K50">
        <f>AVERAGE(Table_Weather_Data[[#This Row],[avg_temp_spr]:[avg_temp_wint]])</f>
        <v>10.5</v>
      </c>
    </row>
    <row r="51" spans="1:11" hidden="1" x14ac:dyDescent="0.15">
      <c r="A51">
        <v>49</v>
      </c>
      <c r="B51" t="s">
        <v>372</v>
      </c>
      <c r="C51">
        <v>76</v>
      </c>
      <c r="D51">
        <v>76</v>
      </c>
      <c r="E51">
        <v>78</v>
      </c>
      <c r="F51">
        <v>79</v>
      </c>
      <c r="G51">
        <v>1</v>
      </c>
      <c r="H51">
        <v>18</v>
      </c>
      <c r="I51">
        <v>25</v>
      </c>
      <c r="J51">
        <v>6</v>
      </c>
      <c r="K51">
        <f>AVERAGE(Table_Weather_Data[[#This Row],[avg_temp_spr]:[avg_temp_wint]])</f>
        <v>12.5</v>
      </c>
    </row>
    <row r="54" spans="1:11" x14ac:dyDescent="0.15">
      <c r="B54" s="19" t="s">
        <v>2</v>
      </c>
      <c r="C54" s="20" t="s">
        <v>738</v>
      </c>
    </row>
    <row r="55" spans="1:11" x14ac:dyDescent="0.15">
      <c r="B55" s="13" t="s">
        <v>42</v>
      </c>
      <c r="C55" s="14">
        <v>80.25</v>
      </c>
    </row>
    <row r="56" spans="1:11" x14ac:dyDescent="0.15">
      <c r="B56" s="15" t="s">
        <v>22</v>
      </c>
      <c r="C56" s="16">
        <v>35.5</v>
      </c>
    </row>
    <row r="57" spans="1:11" x14ac:dyDescent="0.15">
      <c r="B57" s="13" t="s">
        <v>53</v>
      </c>
      <c r="C57" s="14">
        <v>48.25</v>
      </c>
    </row>
    <row r="58" spans="1:11" x14ac:dyDescent="0.15">
      <c r="B58" s="15" t="s">
        <v>36</v>
      </c>
      <c r="C58" s="16">
        <v>73</v>
      </c>
    </row>
    <row r="59" spans="1:11" x14ac:dyDescent="0.15">
      <c r="B59" s="13" t="s">
        <v>38</v>
      </c>
      <c r="C59" s="14">
        <v>60.75</v>
      </c>
    </row>
    <row r="60" spans="1:11" x14ac:dyDescent="0.15">
      <c r="B60" s="15" t="s">
        <v>40</v>
      </c>
      <c r="C60" s="16">
        <v>67.25</v>
      </c>
    </row>
    <row r="61" spans="1:11" x14ac:dyDescent="0.15">
      <c r="B61" s="13" t="s">
        <v>406</v>
      </c>
      <c r="C61" s="14">
        <v>66</v>
      </c>
    </row>
    <row r="62" spans="1:11" x14ac:dyDescent="0.15">
      <c r="B62" s="15" t="s">
        <v>407</v>
      </c>
      <c r="C62" s="16">
        <v>75</v>
      </c>
    </row>
    <row r="63" spans="1:11" x14ac:dyDescent="0.15">
      <c r="B63" s="13" t="s">
        <v>28</v>
      </c>
      <c r="C63" s="14">
        <v>75.25</v>
      </c>
    </row>
    <row r="64" spans="1:11" x14ac:dyDescent="0.15">
      <c r="B64" s="17" t="s">
        <v>31</v>
      </c>
      <c r="C64" s="18">
        <v>64.75</v>
      </c>
    </row>
  </sheetData>
  <conditionalFormatting sqref="C55:C64">
    <cfRule type="dataBar" priority="1">
      <dataBar>
        <cfvo type="min"/>
        <cfvo type="max"/>
        <color rgb="FF63C384"/>
      </dataBar>
      <extLst>
        <ext xmlns:x14="http://schemas.microsoft.com/office/spreadsheetml/2009/9/main" uri="{B025F937-C7B1-47D3-B67F-A62EFF666E3E}">
          <x14:id>{5FE86842-7FB0-4DCC-ADA5-5638601F2BE5}</x14:id>
        </ext>
      </extLst>
    </cfRule>
  </conditionalFormatting>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5FE86842-7FB0-4DCC-ADA5-5638601F2BE5}">
            <x14:dataBar minLength="0" maxLength="100" border="1" negativeBarBorderColorSameAsPositive="0">
              <x14:cfvo type="autoMin"/>
              <x14:cfvo type="autoMax"/>
              <x14:borderColor rgb="FF63C384"/>
              <x14:negativeFillColor rgb="FFFF0000"/>
              <x14:negativeBorderColor rgb="FFFF0000"/>
              <x14:axisColor rgb="FF000000"/>
            </x14:dataBar>
          </x14:cfRule>
          <xm:sqref>C55:C64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9E5FC-7194-4D8F-98E5-3148DA5ACE98}">
  <sheetPr codeName="Sheet9"/>
  <dimension ref="A3:C12"/>
  <sheetViews>
    <sheetView workbookViewId="0">
      <selection activeCell="R20" sqref="R20"/>
    </sheetView>
  </sheetViews>
  <sheetFormatPr baseColWidth="10" defaultColWidth="8.83203125" defaultRowHeight="14" x14ac:dyDescent="0.15"/>
  <cols>
    <col min="1" max="1" width="14" bestFit="1" customWidth="1"/>
    <col min="2" max="2" width="7.83203125" bestFit="1" customWidth="1"/>
    <col min="3" max="3" width="9.1640625" bestFit="1" customWidth="1"/>
  </cols>
  <sheetData>
    <row r="3" spans="1:3" x14ac:dyDescent="0.15">
      <c r="A3" s="1" t="s">
        <v>714</v>
      </c>
      <c r="B3" t="s">
        <v>718</v>
      </c>
      <c r="C3" t="s">
        <v>717</v>
      </c>
    </row>
    <row r="4" spans="1:3" x14ac:dyDescent="0.15">
      <c r="A4" s="2" t="s">
        <v>53</v>
      </c>
      <c r="B4" s="10">
        <v>1752.7142857142858</v>
      </c>
      <c r="C4" s="10">
        <v>63762.571428571428</v>
      </c>
    </row>
    <row r="5" spans="1:3" x14ac:dyDescent="0.15">
      <c r="A5" s="2" t="s">
        <v>36</v>
      </c>
      <c r="B5" s="10">
        <v>2034.35</v>
      </c>
      <c r="C5" s="10">
        <v>60946.25</v>
      </c>
    </row>
    <row r="6" spans="1:3" x14ac:dyDescent="0.15">
      <c r="A6" s="2" t="s">
        <v>38</v>
      </c>
      <c r="B6" s="10">
        <v>1453.9166666666667</v>
      </c>
      <c r="C6" s="10">
        <v>49288.666666666664</v>
      </c>
    </row>
    <row r="7" spans="1:3" x14ac:dyDescent="0.15">
      <c r="A7" s="2" t="s">
        <v>40</v>
      </c>
      <c r="B7" s="10">
        <v>1980</v>
      </c>
      <c r="C7" s="10">
        <v>70850.75</v>
      </c>
    </row>
    <row r="8" spans="1:3" x14ac:dyDescent="0.15">
      <c r="A8" s="2" t="s">
        <v>18</v>
      </c>
      <c r="B8" s="10">
        <v>1670.6</v>
      </c>
      <c r="C8" s="10">
        <v>59564.7</v>
      </c>
    </row>
    <row r="9" spans="1:3" x14ac:dyDescent="0.15">
      <c r="A9" s="2" t="s">
        <v>60</v>
      </c>
      <c r="B9" s="10">
        <v>1495.5833333333333</v>
      </c>
      <c r="C9" s="10">
        <v>53949.166666666664</v>
      </c>
    </row>
    <row r="10" spans="1:3" x14ac:dyDescent="0.15">
      <c r="A10" s="2" t="s">
        <v>28</v>
      </c>
      <c r="B10" s="10">
        <v>1393.6</v>
      </c>
      <c r="C10" s="10">
        <v>55109.919999999998</v>
      </c>
    </row>
    <row r="11" spans="1:3" x14ac:dyDescent="0.15">
      <c r="A11" s="2" t="s">
        <v>31</v>
      </c>
      <c r="B11" s="10">
        <v>1733.3636363636363</v>
      </c>
      <c r="C11" s="10">
        <v>60277</v>
      </c>
    </row>
    <row r="12" spans="1:3" x14ac:dyDescent="0.15">
      <c r="A12" s="2" t="s">
        <v>715</v>
      </c>
      <c r="B12" s="10">
        <v>1652.3069306930693</v>
      </c>
      <c r="C12" s="10">
        <v>57662.990099009898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EB12-AFF4-4E5B-A449-D6F550A6FEF9}">
  <sheetPr codeName="Sheet10"/>
  <dimension ref="A3:B12"/>
  <sheetViews>
    <sheetView workbookViewId="0">
      <selection activeCell="G17" sqref="G17"/>
    </sheetView>
  </sheetViews>
  <sheetFormatPr baseColWidth="10" defaultColWidth="8.83203125" defaultRowHeight="14" x14ac:dyDescent="0.15"/>
  <cols>
    <col min="1" max="1" width="14" bestFit="1" customWidth="1"/>
    <col min="2" max="2" width="23.33203125" bestFit="1" customWidth="1"/>
  </cols>
  <sheetData>
    <row r="3" spans="1:2" x14ac:dyDescent="0.15">
      <c r="A3" s="1" t="s">
        <v>714</v>
      </c>
      <c r="B3" t="s">
        <v>739</v>
      </c>
    </row>
    <row r="4" spans="1:2" x14ac:dyDescent="0.15">
      <c r="A4" s="2" t="s">
        <v>36</v>
      </c>
      <c r="B4" s="46">
        <v>2.4550000000000009E-2</v>
      </c>
    </row>
    <row r="5" spans="1:2" x14ac:dyDescent="0.15">
      <c r="A5" s="2" t="s">
        <v>40</v>
      </c>
      <c r="B5" s="46">
        <v>2.4750000000000001E-2</v>
      </c>
    </row>
    <row r="6" spans="1:2" x14ac:dyDescent="0.15">
      <c r="A6" s="2" t="s">
        <v>38</v>
      </c>
      <c r="B6" s="46">
        <v>2.8000000000000008E-2</v>
      </c>
    </row>
    <row r="7" spans="1:2" x14ac:dyDescent="0.15">
      <c r="A7" s="2" t="s">
        <v>53</v>
      </c>
      <c r="B7" s="46">
        <v>2.9714285714285717E-2</v>
      </c>
    </row>
    <row r="8" spans="1:2" x14ac:dyDescent="0.15">
      <c r="A8" s="2" t="s">
        <v>18</v>
      </c>
      <c r="B8" s="46">
        <v>3.0699999999999998E-2</v>
      </c>
    </row>
    <row r="9" spans="1:2" x14ac:dyDescent="0.15">
      <c r="A9" s="2" t="s">
        <v>60</v>
      </c>
      <c r="B9" s="46">
        <v>3.4166666666666672E-2</v>
      </c>
    </row>
    <row r="10" spans="1:2" x14ac:dyDescent="0.15">
      <c r="A10" s="2" t="s">
        <v>28</v>
      </c>
      <c r="B10" s="46">
        <v>3.7360000000000011E-2</v>
      </c>
    </row>
    <row r="11" spans="1:2" x14ac:dyDescent="0.15">
      <c r="A11" s="2" t="s">
        <v>31</v>
      </c>
      <c r="B11" s="46">
        <v>5.4727272727272736E-2</v>
      </c>
    </row>
    <row r="12" spans="1:2" x14ac:dyDescent="0.15">
      <c r="A12" s="2" t="s">
        <v>715</v>
      </c>
      <c r="B12" s="46">
        <v>3.3534653465346509E-2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3C6F-2AB7-4FBB-9E21-24398861547A}">
  <sheetPr codeName="Sheet11"/>
  <dimension ref="A3:B12"/>
  <sheetViews>
    <sheetView workbookViewId="0">
      <selection activeCell="N4" sqref="N4"/>
    </sheetView>
  </sheetViews>
  <sheetFormatPr baseColWidth="10" defaultColWidth="8.83203125" defaultRowHeight="14" x14ac:dyDescent="0.15"/>
  <cols>
    <col min="1" max="1" width="14" bestFit="1" customWidth="1"/>
    <col min="2" max="2" width="13.5" bestFit="1" customWidth="1"/>
  </cols>
  <sheetData>
    <row r="3" spans="1:2" x14ac:dyDescent="0.15">
      <c r="A3" s="1" t="s">
        <v>714</v>
      </c>
      <c r="B3" t="s">
        <v>740</v>
      </c>
    </row>
    <row r="4" spans="1:2" x14ac:dyDescent="0.15">
      <c r="A4" s="2" t="s">
        <v>53</v>
      </c>
      <c r="B4" s="3">
        <v>105.51428571428572</v>
      </c>
    </row>
    <row r="5" spans="1:2" x14ac:dyDescent="0.15">
      <c r="A5" s="2" t="s">
        <v>36</v>
      </c>
      <c r="B5" s="3">
        <v>100.3</v>
      </c>
    </row>
    <row r="6" spans="1:2" x14ac:dyDescent="0.15">
      <c r="A6" s="2" t="s">
        <v>38</v>
      </c>
      <c r="B6" s="3">
        <v>92.424999999999997</v>
      </c>
    </row>
    <row r="7" spans="1:2" x14ac:dyDescent="0.15">
      <c r="A7" s="2" t="s">
        <v>40</v>
      </c>
      <c r="B7" s="3">
        <v>114.675</v>
      </c>
    </row>
    <row r="8" spans="1:2" x14ac:dyDescent="0.15">
      <c r="A8" s="2" t="s">
        <v>18</v>
      </c>
      <c r="B8" s="3">
        <v>100.87</v>
      </c>
    </row>
    <row r="9" spans="1:2" x14ac:dyDescent="0.15">
      <c r="A9" s="2" t="s">
        <v>60</v>
      </c>
      <c r="B9" s="3">
        <v>93.566666666666663</v>
      </c>
    </row>
    <row r="10" spans="1:2" x14ac:dyDescent="0.15">
      <c r="A10" s="2" t="s">
        <v>28</v>
      </c>
      <c r="B10" s="3">
        <v>91.191999999999993</v>
      </c>
    </row>
    <row r="11" spans="1:2" x14ac:dyDescent="0.15">
      <c r="A11" s="2" t="s">
        <v>31</v>
      </c>
      <c r="B11" s="3">
        <v>107.17272727272729</v>
      </c>
    </row>
    <row r="12" spans="1:2" x14ac:dyDescent="0.15">
      <c r="A12" s="2" t="s">
        <v>715</v>
      </c>
      <c r="B12" s="3">
        <v>97.928125000000065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6B1EDDA19FD9D41938B36A57CACC9FE" ma:contentTypeVersion="8" ma:contentTypeDescription="Create a new document." ma:contentTypeScope="" ma:versionID="7c59b2882e951535a46f75ec4f4854b1">
  <xsd:schema xmlns:xsd="http://www.w3.org/2001/XMLSchema" xmlns:xs="http://www.w3.org/2001/XMLSchema" xmlns:p="http://schemas.microsoft.com/office/2006/metadata/properties" xmlns:ns3="ddf19902-943d-4e46-9b14-d3a786f87581" targetNamespace="http://schemas.microsoft.com/office/2006/metadata/properties" ma:root="true" ma:fieldsID="d1fc8c6cf774ae6691f04cb26f0137fe" ns3:_="">
    <xsd:import namespace="ddf19902-943d-4e46-9b14-d3a786f87581"/>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f19902-943d-4e46-9b14-d3a786f875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BD15A49-70B7-431D-9750-A42DCF6DCF3D}">
  <ds:schemaRefs>
    <ds:schemaRef ds:uri="http://purl.org/dc/elements/1.1/"/>
    <ds:schemaRef ds:uri="ddf19902-943d-4e46-9b14-d3a786f87581"/>
    <ds:schemaRef ds:uri="http://www.w3.org/XML/1998/namespace"/>
    <ds:schemaRef ds:uri="http://schemas.microsoft.com/office/2006/metadata/properties"/>
    <ds:schemaRef ds:uri="http://purl.org/dc/dcmitype/"/>
    <ds:schemaRef ds:uri="http://schemas.microsoft.com/office/2006/documentManagement/types"/>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C55960A2-53AA-44F4-940A-3EC0CA3D0371}">
  <ds:schemaRefs>
    <ds:schemaRef ds:uri="http://schemas.microsoft.com/DataMashup"/>
  </ds:schemaRefs>
</ds:datastoreItem>
</file>

<file path=customXml/itemProps3.xml><?xml version="1.0" encoding="utf-8"?>
<ds:datastoreItem xmlns:ds="http://schemas.openxmlformats.org/officeDocument/2006/customXml" ds:itemID="{1DE89F10-0098-4560-A7E7-A4B06B9CF1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f19902-943d-4e46-9b14-d3a786f8758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AC13DD0-F291-423E-B494-07A7D2804CF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Bibliography</vt:lpstr>
      <vt:lpstr>Dashboard</vt:lpstr>
      <vt:lpstr>Conclusion</vt:lpstr>
      <vt:lpstr>Commute Time</vt:lpstr>
      <vt:lpstr>Normalized Dataset</vt:lpstr>
      <vt:lpstr>Micros Dataset</vt:lpstr>
      <vt:lpstr>Statewise Data</vt:lpstr>
      <vt:lpstr>Education</vt:lpstr>
      <vt:lpstr>Hospitals</vt:lpstr>
      <vt:lpstr>Weather Data</vt:lpstr>
      <vt:lpstr>Rent vs Income</vt:lpstr>
      <vt:lpstr>Unemployment Rate</vt:lpstr>
      <vt:lpstr>Transit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manaswi deshmukh</dc:creator>
  <cp:lastModifiedBy>Prajwal Kumar H R</cp:lastModifiedBy>
  <dcterms:created xsi:type="dcterms:W3CDTF">2023-07-22T16:05:58Z</dcterms:created>
  <dcterms:modified xsi:type="dcterms:W3CDTF">2024-09-11T20:48:29Z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0x010100D6B1EDDA19FD9D41938B36A57CACC9FE</vt:lpwstr>
  </property>
</Properties>
</file>